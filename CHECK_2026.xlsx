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539321-ABEB-475F-8CE9-ECD642AA6CDF}" xr6:coauthVersionLast="47" xr6:coauthVersionMax="47" xr10:uidLastSave="{00000000-0000-0000-0000-000000000000}"/>
  <bookViews>
    <workbookView xWindow="-108" yWindow="-108" windowWidth="23256" windowHeight="12456" tabRatio="495" xr2:uid="{6EA1E4C7-1E0F-4D95-A5A0-C05F9502E006}"/>
  </bookViews>
  <sheets>
    <sheet name="Dữ liệu thô" sheetId="16" r:id="rId1"/>
    <sheet name="ChiTiet" sheetId="1" r:id="rId2"/>
    <sheet name="QuyDoi_DonVi" sheetId="6" r:id="rId3"/>
    <sheet name="SOP_Banh" sheetId="2" r:id="rId4"/>
    <sheet name="SOP_Nuoc" sheetId="3" r:id="rId5"/>
    <sheet name="KIỂM TRA" sheetId="13" r:id="rId6"/>
    <sheet name="Tổng hợp T5" sheetId="15" r:id="rId7"/>
  </sheets>
  <definedNames>
    <definedName name="_xlnm._FilterDatabase" localSheetId="1" hidden="1">ChiTiet!$A$3:$AO$97</definedName>
    <definedName name="_xlnm._FilterDatabase" localSheetId="5" hidden="1">'KIỂM TRA'!$B$2:$W$2</definedName>
    <definedName name="_xlnm._FilterDatabase" localSheetId="2" hidden="1">QuyDoi_DonVi!$A$4:$S$5</definedName>
    <definedName name="_xlnm._FilterDatabase" localSheetId="3" hidden="1">SOP_Banh!$A$1:$X$1</definedName>
    <definedName name="Dulieutho">'Dữ liệu thô'!$1:$1048576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 s="1"/>
  <c r="U4" i="13"/>
  <c r="V4" i="13"/>
  <c r="W4" i="13"/>
  <c r="E5" i="3"/>
  <c r="I5" i="3"/>
  <c r="F5" i="3" s="1"/>
  <c r="G5" i="3" s="1"/>
  <c r="H5" i="3" s="1"/>
  <c r="J5" i="3"/>
  <c r="K5" i="3"/>
  <c r="L5" i="3"/>
  <c r="P5" i="3" s="1"/>
  <c r="T5" i="3" s="1"/>
  <c r="M5" i="3"/>
  <c r="N5" i="3"/>
  <c r="O5" i="3"/>
  <c r="Q5" i="3"/>
  <c r="R5" i="3"/>
  <c r="S5" i="3"/>
  <c r="U5" i="3"/>
  <c r="E3" i="2"/>
  <c r="F3" i="2"/>
  <c r="G3" i="2"/>
  <c r="H3" i="2"/>
  <c r="L3" i="2"/>
  <c r="N3" i="2"/>
  <c r="O3" i="2"/>
  <c r="P3" i="2"/>
  <c r="Q3" i="2"/>
  <c r="R3" i="2"/>
  <c r="S3" i="2"/>
  <c r="W3" i="2"/>
  <c r="X3" i="2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4" i="1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W70" i="13"/>
  <c r="W69" i="13"/>
  <c r="W68" i="13"/>
  <c r="W67" i="13"/>
  <c r="W66" i="13"/>
  <c r="W65" i="13"/>
  <c r="W64" i="13"/>
  <c r="W63" i="13"/>
  <c r="W62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W7" i="13"/>
  <c r="W6" i="13"/>
  <c r="W5" i="13"/>
  <c r="W3" i="13"/>
  <c r="L95" i="2"/>
  <c r="G96" i="13" s="1"/>
  <c r="H95" i="2"/>
  <c r="G95" i="2"/>
  <c r="F95" i="2"/>
  <c r="E95" i="2"/>
  <c r="L94" i="2"/>
  <c r="G95" i="13" s="1"/>
  <c r="H94" i="2"/>
  <c r="G94" i="2"/>
  <c r="F94" i="2"/>
  <c r="E94" i="2"/>
  <c r="L93" i="2"/>
  <c r="G94" i="13" s="1"/>
  <c r="H93" i="2"/>
  <c r="G93" i="2"/>
  <c r="F93" i="2"/>
  <c r="E93" i="2"/>
  <c r="L92" i="2"/>
  <c r="G93" i="13" s="1"/>
  <c r="H92" i="2"/>
  <c r="G92" i="2"/>
  <c r="F92" i="2"/>
  <c r="E92" i="2"/>
  <c r="L91" i="2"/>
  <c r="G92" i="13" s="1"/>
  <c r="H91" i="2"/>
  <c r="G91" i="2"/>
  <c r="F91" i="2"/>
  <c r="E91" i="2"/>
  <c r="L90" i="2"/>
  <c r="G91" i="13" s="1"/>
  <c r="H90" i="2"/>
  <c r="G90" i="2"/>
  <c r="F90" i="2"/>
  <c r="E90" i="2"/>
  <c r="L89" i="2"/>
  <c r="G90" i="13" s="1"/>
  <c r="H89" i="2"/>
  <c r="G89" i="2"/>
  <c r="F89" i="2"/>
  <c r="E89" i="2"/>
  <c r="L88" i="2"/>
  <c r="G89" i="13" s="1"/>
  <c r="H88" i="2"/>
  <c r="G88" i="2"/>
  <c r="F88" i="2"/>
  <c r="E88" i="2"/>
  <c r="L87" i="2"/>
  <c r="G88" i="13" s="1"/>
  <c r="H87" i="2"/>
  <c r="G87" i="2"/>
  <c r="F87" i="2"/>
  <c r="E87" i="2"/>
  <c r="L86" i="2"/>
  <c r="G87" i="13" s="1"/>
  <c r="H86" i="2"/>
  <c r="G86" i="2"/>
  <c r="F86" i="2"/>
  <c r="E86" i="2"/>
  <c r="L85" i="2"/>
  <c r="G86" i="13" s="1"/>
  <c r="H85" i="2"/>
  <c r="G85" i="2"/>
  <c r="F85" i="2"/>
  <c r="E85" i="2"/>
  <c r="L84" i="2"/>
  <c r="G85" i="13" s="1"/>
  <c r="H84" i="2"/>
  <c r="G84" i="2"/>
  <c r="F84" i="2"/>
  <c r="E84" i="2"/>
  <c r="L83" i="2"/>
  <c r="G84" i="13" s="1"/>
  <c r="H83" i="2"/>
  <c r="G83" i="2"/>
  <c r="F83" i="2"/>
  <c r="E83" i="2"/>
  <c r="L82" i="2"/>
  <c r="G83" i="13" s="1"/>
  <c r="H82" i="2"/>
  <c r="G82" i="2"/>
  <c r="F82" i="2"/>
  <c r="E82" i="2"/>
  <c r="L81" i="2"/>
  <c r="G82" i="13" s="1"/>
  <c r="H81" i="2"/>
  <c r="G81" i="2"/>
  <c r="F81" i="2"/>
  <c r="E81" i="2"/>
  <c r="L80" i="2"/>
  <c r="G81" i="13" s="1"/>
  <c r="H80" i="2"/>
  <c r="G80" i="2"/>
  <c r="F80" i="2"/>
  <c r="E80" i="2"/>
  <c r="L79" i="2"/>
  <c r="G80" i="13" s="1"/>
  <c r="H79" i="2"/>
  <c r="G79" i="2"/>
  <c r="F79" i="2"/>
  <c r="E79" i="2"/>
  <c r="L78" i="2"/>
  <c r="G79" i="13" s="1"/>
  <c r="H78" i="2"/>
  <c r="G78" i="2"/>
  <c r="F78" i="2"/>
  <c r="E78" i="2"/>
  <c r="L77" i="2"/>
  <c r="G78" i="13" s="1"/>
  <c r="H77" i="2"/>
  <c r="G77" i="2"/>
  <c r="F77" i="2"/>
  <c r="E77" i="2"/>
  <c r="L76" i="2"/>
  <c r="G77" i="13" s="1"/>
  <c r="H76" i="2"/>
  <c r="G76" i="2"/>
  <c r="F76" i="2"/>
  <c r="E76" i="2"/>
  <c r="L75" i="2"/>
  <c r="G76" i="13" s="1"/>
  <c r="H75" i="2"/>
  <c r="G75" i="2"/>
  <c r="F75" i="2"/>
  <c r="E75" i="2"/>
  <c r="L74" i="2"/>
  <c r="G75" i="13" s="1"/>
  <c r="H74" i="2"/>
  <c r="G74" i="2"/>
  <c r="F74" i="2"/>
  <c r="E74" i="2"/>
  <c r="L73" i="2"/>
  <c r="G74" i="13" s="1"/>
  <c r="H73" i="2"/>
  <c r="G73" i="2"/>
  <c r="F73" i="2"/>
  <c r="E73" i="2"/>
  <c r="L72" i="2"/>
  <c r="G73" i="13" s="1"/>
  <c r="H72" i="2"/>
  <c r="G72" i="2"/>
  <c r="F72" i="2"/>
  <c r="E72" i="2"/>
  <c r="L71" i="2"/>
  <c r="G72" i="13" s="1"/>
  <c r="H71" i="2"/>
  <c r="G71" i="2"/>
  <c r="F71" i="2"/>
  <c r="E71" i="2"/>
  <c r="L70" i="2"/>
  <c r="G71" i="13" s="1"/>
  <c r="H70" i="2"/>
  <c r="G70" i="2"/>
  <c r="F70" i="2"/>
  <c r="E70" i="2"/>
  <c r="L69" i="2"/>
  <c r="G70" i="13" s="1"/>
  <c r="H69" i="2"/>
  <c r="G69" i="2"/>
  <c r="F69" i="2"/>
  <c r="E69" i="2"/>
  <c r="L68" i="2"/>
  <c r="G69" i="13" s="1"/>
  <c r="H68" i="2"/>
  <c r="G68" i="2"/>
  <c r="F68" i="2"/>
  <c r="E68" i="2"/>
  <c r="L67" i="2"/>
  <c r="G68" i="13" s="1"/>
  <c r="H67" i="2"/>
  <c r="G67" i="2"/>
  <c r="F67" i="2"/>
  <c r="E67" i="2"/>
  <c r="L66" i="2"/>
  <c r="G67" i="13" s="1"/>
  <c r="H66" i="2"/>
  <c r="G66" i="2"/>
  <c r="F66" i="2"/>
  <c r="E66" i="2"/>
  <c r="L65" i="2"/>
  <c r="G66" i="13" s="1"/>
  <c r="H65" i="2"/>
  <c r="G65" i="2"/>
  <c r="F65" i="2"/>
  <c r="E65" i="2"/>
  <c r="L64" i="2"/>
  <c r="G65" i="13" s="1"/>
  <c r="H64" i="2"/>
  <c r="G64" i="2"/>
  <c r="F64" i="2"/>
  <c r="E64" i="2"/>
  <c r="L63" i="2"/>
  <c r="G64" i="13" s="1"/>
  <c r="H63" i="2"/>
  <c r="G63" i="2"/>
  <c r="F63" i="2"/>
  <c r="E63" i="2"/>
  <c r="L62" i="2"/>
  <c r="G63" i="13" s="1"/>
  <c r="H62" i="2"/>
  <c r="G62" i="2"/>
  <c r="F62" i="2"/>
  <c r="E62" i="2"/>
  <c r="L61" i="2"/>
  <c r="G62" i="13" s="1"/>
  <c r="H61" i="2"/>
  <c r="G61" i="2"/>
  <c r="F61" i="2"/>
  <c r="E61" i="2"/>
  <c r="L60" i="2"/>
  <c r="G61" i="13" s="1"/>
  <c r="H60" i="2"/>
  <c r="G60" i="2"/>
  <c r="F60" i="2"/>
  <c r="E60" i="2"/>
  <c r="L59" i="2"/>
  <c r="G60" i="13" s="1"/>
  <c r="H59" i="2"/>
  <c r="G59" i="2"/>
  <c r="F59" i="2"/>
  <c r="E59" i="2"/>
  <c r="L58" i="2"/>
  <c r="G59" i="13" s="1"/>
  <c r="H58" i="2"/>
  <c r="G58" i="2"/>
  <c r="F58" i="2"/>
  <c r="E58" i="2"/>
  <c r="L57" i="2"/>
  <c r="G58" i="13" s="1"/>
  <c r="H57" i="2"/>
  <c r="G57" i="2"/>
  <c r="F57" i="2"/>
  <c r="E57" i="2"/>
  <c r="L56" i="2"/>
  <c r="G57" i="13" s="1"/>
  <c r="H56" i="2"/>
  <c r="G56" i="2"/>
  <c r="F56" i="2"/>
  <c r="E56" i="2"/>
  <c r="L55" i="2"/>
  <c r="G56" i="13" s="1"/>
  <c r="H55" i="2"/>
  <c r="G55" i="2"/>
  <c r="F55" i="2"/>
  <c r="E55" i="2"/>
  <c r="L54" i="2"/>
  <c r="G55" i="13" s="1"/>
  <c r="H54" i="2"/>
  <c r="G54" i="2"/>
  <c r="F54" i="2"/>
  <c r="E54" i="2"/>
  <c r="L53" i="2"/>
  <c r="G54" i="13" s="1"/>
  <c r="H53" i="2"/>
  <c r="G53" i="2"/>
  <c r="F53" i="2"/>
  <c r="E53" i="2"/>
  <c r="L52" i="2"/>
  <c r="G53" i="13" s="1"/>
  <c r="H52" i="2"/>
  <c r="G52" i="2"/>
  <c r="F52" i="2"/>
  <c r="E52" i="2"/>
  <c r="L51" i="2"/>
  <c r="G52" i="13" s="1"/>
  <c r="H51" i="2"/>
  <c r="G51" i="2"/>
  <c r="F51" i="2"/>
  <c r="E51" i="2"/>
  <c r="L50" i="2"/>
  <c r="G51" i="13" s="1"/>
  <c r="H50" i="2"/>
  <c r="G50" i="2"/>
  <c r="F50" i="2"/>
  <c r="E50" i="2"/>
  <c r="L49" i="2"/>
  <c r="G50" i="13" s="1"/>
  <c r="H49" i="2"/>
  <c r="G49" i="2"/>
  <c r="F49" i="2"/>
  <c r="E49" i="2"/>
  <c r="L48" i="2"/>
  <c r="G49" i="13" s="1"/>
  <c r="H48" i="2"/>
  <c r="G48" i="2"/>
  <c r="F48" i="2"/>
  <c r="E48" i="2"/>
  <c r="L47" i="2"/>
  <c r="G48" i="13" s="1"/>
  <c r="H47" i="2"/>
  <c r="G47" i="2"/>
  <c r="F47" i="2"/>
  <c r="E47" i="2"/>
  <c r="L46" i="2"/>
  <c r="G47" i="13" s="1"/>
  <c r="H46" i="2"/>
  <c r="G46" i="2"/>
  <c r="F46" i="2"/>
  <c r="E46" i="2"/>
  <c r="L45" i="2"/>
  <c r="G46" i="13" s="1"/>
  <c r="H45" i="2"/>
  <c r="G45" i="2"/>
  <c r="F45" i="2"/>
  <c r="E45" i="2"/>
  <c r="L44" i="2"/>
  <c r="G45" i="13" s="1"/>
  <c r="H44" i="2"/>
  <c r="G44" i="2"/>
  <c r="F44" i="2"/>
  <c r="E44" i="2"/>
  <c r="L43" i="2"/>
  <c r="G44" i="13" s="1"/>
  <c r="H43" i="2"/>
  <c r="G43" i="2"/>
  <c r="F43" i="2"/>
  <c r="E43" i="2"/>
  <c r="L42" i="2"/>
  <c r="G43" i="13" s="1"/>
  <c r="H42" i="2"/>
  <c r="G42" i="2"/>
  <c r="F42" i="2"/>
  <c r="E42" i="2"/>
  <c r="L41" i="2"/>
  <c r="G42" i="13" s="1"/>
  <c r="H41" i="2"/>
  <c r="G41" i="2"/>
  <c r="F41" i="2"/>
  <c r="E41" i="2"/>
  <c r="L40" i="2"/>
  <c r="G41" i="13" s="1"/>
  <c r="H40" i="2"/>
  <c r="G40" i="2"/>
  <c r="F40" i="2"/>
  <c r="E40" i="2"/>
  <c r="L39" i="2"/>
  <c r="G40" i="13" s="1"/>
  <c r="H39" i="2"/>
  <c r="G39" i="2"/>
  <c r="F39" i="2"/>
  <c r="E39" i="2"/>
  <c r="L38" i="2"/>
  <c r="G39" i="13" s="1"/>
  <c r="H38" i="2"/>
  <c r="G38" i="2"/>
  <c r="F38" i="2"/>
  <c r="E38" i="2"/>
  <c r="L37" i="2"/>
  <c r="G38" i="13" s="1"/>
  <c r="H37" i="2"/>
  <c r="G37" i="2"/>
  <c r="F37" i="2"/>
  <c r="E37" i="2"/>
  <c r="L36" i="2"/>
  <c r="G37" i="13" s="1"/>
  <c r="H36" i="2"/>
  <c r="G36" i="2"/>
  <c r="F36" i="2"/>
  <c r="E36" i="2"/>
  <c r="L35" i="2"/>
  <c r="G36" i="13" s="1"/>
  <c r="H35" i="2"/>
  <c r="G35" i="2"/>
  <c r="F35" i="2"/>
  <c r="E35" i="2"/>
  <c r="L34" i="2"/>
  <c r="G35" i="13" s="1"/>
  <c r="H34" i="2"/>
  <c r="G34" i="2"/>
  <c r="F34" i="2"/>
  <c r="E34" i="2"/>
  <c r="L33" i="2"/>
  <c r="G34" i="13" s="1"/>
  <c r="H33" i="2"/>
  <c r="G33" i="2"/>
  <c r="F33" i="2"/>
  <c r="E33" i="2"/>
  <c r="L32" i="2"/>
  <c r="G33" i="13" s="1"/>
  <c r="H32" i="2"/>
  <c r="G32" i="2"/>
  <c r="F32" i="2"/>
  <c r="E32" i="2"/>
  <c r="L31" i="2"/>
  <c r="G32" i="13" s="1"/>
  <c r="H31" i="2"/>
  <c r="G31" i="2"/>
  <c r="F31" i="2"/>
  <c r="E31" i="2"/>
  <c r="L30" i="2"/>
  <c r="G31" i="13" s="1"/>
  <c r="H30" i="2"/>
  <c r="G30" i="2"/>
  <c r="F30" i="2"/>
  <c r="E30" i="2"/>
  <c r="L29" i="2"/>
  <c r="G30" i="13" s="1"/>
  <c r="H29" i="2"/>
  <c r="G29" i="2"/>
  <c r="F29" i="2"/>
  <c r="E29" i="2"/>
  <c r="L28" i="2"/>
  <c r="G29" i="13" s="1"/>
  <c r="H28" i="2"/>
  <c r="G28" i="2"/>
  <c r="F28" i="2"/>
  <c r="E28" i="2"/>
  <c r="L27" i="2"/>
  <c r="G28" i="13" s="1"/>
  <c r="H27" i="2"/>
  <c r="G27" i="2"/>
  <c r="F27" i="2"/>
  <c r="E27" i="2"/>
  <c r="L26" i="2"/>
  <c r="G27" i="13" s="1"/>
  <c r="H26" i="2"/>
  <c r="G26" i="2"/>
  <c r="F26" i="2"/>
  <c r="E26" i="2"/>
  <c r="L25" i="2"/>
  <c r="G26" i="13" s="1"/>
  <c r="H25" i="2"/>
  <c r="G25" i="2"/>
  <c r="F25" i="2"/>
  <c r="E25" i="2"/>
  <c r="L24" i="2"/>
  <c r="G25" i="13" s="1"/>
  <c r="H24" i="2"/>
  <c r="G24" i="2"/>
  <c r="F24" i="2"/>
  <c r="E24" i="2"/>
  <c r="L23" i="2"/>
  <c r="G24" i="13" s="1"/>
  <c r="H23" i="2"/>
  <c r="G23" i="2"/>
  <c r="F23" i="2"/>
  <c r="E23" i="2"/>
  <c r="L22" i="2"/>
  <c r="G23" i="13" s="1"/>
  <c r="H22" i="2"/>
  <c r="G22" i="2"/>
  <c r="F22" i="2"/>
  <c r="E22" i="2"/>
  <c r="L21" i="2"/>
  <c r="G22" i="13" s="1"/>
  <c r="H21" i="2"/>
  <c r="G21" i="2"/>
  <c r="F21" i="2"/>
  <c r="E21" i="2"/>
  <c r="L20" i="2"/>
  <c r="G21" i="13" s="1"/>
  <c r="H20" i="2"/>
  <c r="G20" i="2"/>
  <c r="F20" i="2"/>
  <c r="E20" i="2"/>
  <c r="L19" i="2"/>
  <c r="G20" i="13" s="1"/>
  <c r="H19" i="2"/>
  <c r="G19" i="2"/>
  <c r="F19" i="2"/>
  <c r="E19" i="2"/>
  <c r="L18" i="2"/>
  <c r="G19" i="13" s="1"/>
  <c r="H18" i="2"/>
  <c r="G18" i="2"/>
  <c r="F18" i="2"/>
  <c r="E18" i="2"/>
  <c r="L17" i="2"/>
  <c r="G18" i="13" s="1"/>
  <c r="H17" i="2"/>
  <c r="G17" i="2"/>
  <c r="F17" i="2"/>
  <c r="E17" i="2"/>
  <c r="L16" i="2"/>
  <c r="G17" i="13" s="1"/>
  <c r="H16" i="2"/>
  <c r="G16" i="2"/>
  <c r="F16" i="2"/>
  <c r="E16" i="2"/>
  <c r="L15" i="2"/>
  <c r="G16" i="13" s="1"/>
  <c r="H15" i="2"/>
  <c r="G15" i="2"/>
  <c r="F15" i="2"/>
  <c r="E15" i="2"/>
  <c r="L14" i="2"/>
  <c r="G15" i="13" s="1"/>
  <c r="H14" i="2"/>
  <c r="G14" i="2"/>
  <c r="F14" i="2"/>
  <c r="E14" i="2"/>
  <c r="L13" i="2"/>
  <c r="G14" i="13" s="1"/>
  <c r="H13" i="2"/>
  <c r="G13" i="2"/>
  <c r="F13" i="2"/>
  <c r="E13" i="2"/>
  <c r="L12" i="2"/>
  <c r="G13" i="13" s="1"/>
  <c r="H12" i="2"/>
  <c r="G12" i="2"/>
  <c r="F12" i="2"/>
  <c r="E12" i="2"/>
  <c r="L11" i="2"/>
  <c r="G12" i="13" s="1"/>
  <c r="H11" i="2"/>
  <c r="G11" i="2"/>
  <c r="F11" i="2"/>
  <c r="E11" i="2"/>
  <c r="L10" i="2"/>
  <c r="G11" i="13" s="1"/>
  <c r="H10" i="2"/>
  <c r="G10" i="2"/>
  <c r="F10" i="2"/>
  <c r="E10" i="2"/>
  <c r="L9" i="2"/>
  <c r="G10" i="13" s="1"/>
  <c r="H9" i="2"/>
  <c r="G9" i="2"/>
  <c r="F9" i="2"/>
  <c r="E9" i="2"/>
  <c r="L8" i="2"/>
  <c r="G9" i="13" s="1"/>
  <c r="H8" i="2"/>
  <c r="G8" i="2"/>
  <c r="F8" i="2"/>
  <c r="E8" i="2"/>
  <c r="L7" i="2"/>
  <c r="G8" i="13" s="1"/>
  <c r="H7" i="2"/>
  <c r="G7" i="2"/>
  <c r="F7" i="2"/>
  <c r="E7" i="2"/>
  <c r="L6" i="2"/>
  <c r="G7" i="13" s="1"/>
  <c r="H6" i="2"/>
  <c r="G6" i="2"/>
  <c r="F6" i="2"/>
  <c r="E6" i="2"/>
  <c r="L5" i="2"/>
  <c r="G6" i="13" s="1"/>
  <c r="H5" i="2"/>
  <c r="G5" i="2"/>
  <c r="F5" i="2"/>
  <c r="E5" i="2"/>
  <c r="L4" i="2"/>
  <c r="G5" i="13" s="1"/>
  <c r="H4" i="2"/>
  <c r="G4" i="2"/>
  <c r="F4" i="2"/>
  <c r="E4" i="2"/>
  <c r="L2" i="2"/>
  <c r="G3" i="13" s="1"/>
  <c r="H2" i="2"/>
  <c r="G2" i="2"/>
  <c r="F2" i="2"/>
  <c r="E2" i="2"/>
  <c r="R98" i="6"/>
  <c r="Q98" i="6"/>
  <c r="N98" i="6"/>
  <c r="M98" i="6"/>
  <c r="L98" i="6"/>
  <c r="U96" i="13" s="1"/>
  <c r="J98" i="6"/>
  <c r="I98" i="6"/>
  <c r="H98" i="6"/>
  <c r="R97" i="6"/>
  <c r="Q97" i="6"/>
  <c r="N97" i="6"/>
  <c r="M97" i="6"/>
  <c r="L97" i="6"/>
  <c r="J97" i="6"/>
  <c r="I97" i="6"/>
  <c r="H97" i="6"/>
  <c r="R96" i="6"/>
  <c r="Q96" i="6"/>
  <c r="N96" i="6"/>
  <c r="M96" i="6"/>
  <c r="L96" i="6"/>
  <c r="U94" i="13" s="1"/>
  <c r="J96" i="6"/>
  <c r="I96" i="6"/>
  <c r="H96" i="6"/>
  <c r="R95" i="6"/>
  <c r="Q95" i="6"/>
  <c r="N95" i="6"/>
  <c r="M95" i="6"/>
  <c r="L95" i="6"/>
  <c r="U93" i="13" s="1"/>
  <c r="J95" i="6"/>
  <c r="I95" i="6"/>
  <c r="H95" i="6"/>
  <c r="R94" i="6"/>
  <c r="Q94" i="6"/>
  <c r="N94" i="6"/>
  <c r="M94" i="6"/>
  <c r="L94" i="6"/>
  <c r="U92" i="13" s="1"/>
  <c r="J94" i="6"/>
  <c r="I94" i="6"/>
  <c r="H94" i="6"/>
  <c r="R93" i="6"/>
  <c r="Q93" i="6"/>
  <c r="N93" i="6"/>
  <c r="M93" i="6"/>
  <c r="L93" i="6"/>
  <c r="U91" i="13" s="1"/>
  <c r="J93" i="6"/>
  <c r="I93" i="6"/>
  <c r="H93" i="6"/>
  <c r="R92" i="6"/>
  <c r="Q92" i="6"/>
  <c r="N92" i="6"/>
  <c r="M92" i="6"/>
  <c r="L92" i="6"/>
  <c r="U90" i="13" s="1"/>
  <c r="J92" i="6"/>
  <c r="I92" i="6"/>
  <c r="H92" i="6"/>
  <c r="R91" i="6"/>
  <c r="Q91" i="6"/>
  <c r="N91" i="6"/>
  <c r="M91" i="6"/>
  <c r="L91" i="6"/>
  <c r="U89" i="13" s="1"/>
  <c r="J91" i="6"/>
  <c r="I91" i="6"/>
  <c r="H91" i="6"/>
  <c r="R90" i="6"/>
  <c r="Q90" i="6"/>
  <c r="N90" i="6"/>
  <c r="M90" i="6"/>
  <c r="L90" i="6"/>
  <c r="U88" i="13" s="1"/>
  <c r="J90" i="6"/>
  <c r="I90" i="6"/>
  <c r="H90" i="6"/>
  <c r="R89" i="6"/>
  <c r="Q89" i="6"/>
  <c r="N89" i="6"/>
  <c r="M89" i="6"/>
  <c r="L89" i="6"/>
  <c r="U87" i="13" s="1"/>
  <c r="J89" i="6"/>
  <c r="I89" i="6"/>
  <c r="H89" i="6"/>
  <c r="R88" i="6"/>
  <c r="Q88" i="6"/>
  <c r="N88" i="6"/>
  <c r="M88" i="6"/>
  <c r="L88" i="6"/>
  <c r="U86" i="13" s="1"/>
  <c r="J88" i="6"/>
  <c r="I88" i="6"/>
  <c r="H88" i="6"/>
  <c r="R87" i="6"/>
  <c r="Q87" i="6"/>
  <c r="N87" i="6"/>
  <c r="M87" i="6"/>
  <c r="L87" i="6"/>
  <c r="U85" i="13" s="1"/>
  <c r="J87" i="6"/>
  <c r="I87" i="6"/>
  <c r="H87" i="6"/>
  <c r="R86" i="6"/>
  <c r="Q86" i="6"/>
  <c r="N86" i="6"/>
  <c r="M86" i="6"/>
  <c r="L86" i="6"/>
  <c r="U84" i="13" s="1"/>
  <c r="J86" i="6"/>
  <c r="I86" i="6"/>
  <c r="H86" i="6"/>
  <c r="R85" i="6"/>
  <c r="Q85" i="6"/>
  <c r="N85" i="6"/>
  <c r="M85" i="6"/>
  <c r="L85" i="6"/>
  <c r="U83" i="13" s="1"/>
  <c r="J85" i="6"/>
  <c r="I85" i="6"/>
  <c r="H85" i="6"/>
  <c r="R84" i="6"/>
  <c r="Q84" i="6"/>
  <c r="N84" i="6"/>
  <c r="M84" i="6"/>
  <c r="L84" i="6"/>
  <c r="U82" i="13" s="1"/>
  <c r="J84" i="6"/>
  <c r="I84" i="6"/>
  <c r="H84" i="6"/>
  <c r="R83" i="6"/>
  <c r="Q83" i="6"/>
  <c r="N83" i="6"/>
  <c r="M83" i="6"/>
  <c r="L83" i="6"/>
  <c r="U81" i="13" s="1"/>
  <c r="J83" i="6"/>
  <c r="I83" i="6"/>
  <c r="H83" i="6"/>
  <c r="R82" i="6"/>
  <c r="Q82" i="6"/>
  <c r="N82" i="6"/>
  <c r="M82" i="6"/>
  <c r="L82" i="6"/>
  <c r="U80" i="13" s="1"/>
  <c r="J82" i="6"/>
  <c r="I82" i="6"/>
  <c r="H82" i="6"/>
  <c r="R81" i="6"/>
  <c r="Q81" i="6"/>
  <c r="N81" i="6"/>
  <c r="M81" i="6"/>
  <c r="L81" i="6"/>
  <c r="U79" i="13" s="1"/>
  <c r="J81" i="6"/>
  <c r="I81" i="6"/>
  <c r="H81" i="6"/>
  <c r="R80" i="6"/>
  <c r="Q80" i="6"/>
  <c r="N80" i="6"/>
  <c r="M80" i="6"/>
  <c r="L80" i="6"/>
  <c r="U78" i="13" s="1"/>
  <c r="J80" i="6"/>
  <c r="I80" i="6"/>
  <c r="H80" i="6"/>
  <c r="R79" i="6"/>
  <c r="Q79" i="6"/>
  <c r="N79" i="6"/>
  <c r="M79" i="6"/>
  <c r="L79" i="6"/>
  <c r="U77" i="13" s="1"/>
  <c r="J79" i="6"/>
  <c r="I79" i="6"/>
  <c r="H79" i="6"/>
  <c r="R78" i="6"/>
  <c r="Q78" i="6"/>
  <c r="N78" i="6"/>
  <c r="M78" i="6"/>
  <c r="L78" i="6"/>
  <c r="U76" i="13" s="1"/>
  <c r="J78" i="6"/>
  <c r="I78" i="6"/>
  <c r="H78" i="6"/>
  <c r="R77" i="6"/>
  <c r="Q77" i="6"/>
  <c r="N77" i="6"/>
  <c r="M77" i="6"/>
  <c r="L77" i="6"/>
  <c r="U75" i="13" s="1"/>
  <c r="J77" i="6"/>
  <c r="I77" i="6"/>
  <c r="H77" i="6"/>
  <c r="R76" i="6"/>
  <c r="Q76" i="6"/>
  <c r="N76" i="6"/>
  <c r="M76" i="6"/>
  <c r="L76" i="6"/>
  <c r="U74" i="13" s="1"/>
  <c r="J76" i="6"/>
  <c r="I76" i="6"/>
  <c r="H76" i="6"/>
  <c r="R75" i="6"/>
  <c r="Q75" i="6"/>
  <c r="N75" i="6"/>
  <c r="M75" i="6"/>
  <c r="L75" i="6"/>
  <c r="U73" i="13" s="1"/>
  <c r="J75" i="6"/>
  <c r="I75" i="6"/>
  <c r="H75" i="6"/>
  <c r="R74" i="6"/>
  <c r="Q74" i="6"/>
  <c r="N74" i="6"/>
  <c r="M74" i="6"/>
  <c r="L74" i="6"/>
  <c r="U72" i="13" s="1"/>
  <c r="J74" i="6"/>
  <c r="I74" i="6"/>
  <c r="H74" i="6"/>
  <c r="R73" i="6"/>
  <c r="Q73" i="6"/>
  <c r="N73" i="6"/>
  <c r="M73" i="6"/>
  <c r="L73" i="6"/>
  <c r="U71" i="13" s="1"/>
  <c r="J73" i="6"/>
  <c r="I73" i="6"/>
  <c r="H73" i="6"/>
  <c r="R72" i="6"/>
  <c r="Q72" i="6"/>
  <c r="N72" i="6"/>
  <c r="M72" i="6"/>
  <c r="L72" i="6"/>
  <c r="U70" i="13" s="1"/>
  <c r="J72" i="6"/>
  <c r="I72" i="6"/>
  <c r="H72" i="6"/>
  <c r="R71" i="6"/>
  <c r="Q71" i="6"/>
  <c r="N71" i="6"/>
  <c r="M71" i="6"/>
  <c r="L71" i="6"/>
  <c r="U69" i="13" s="1"/>
  <c r="J71" i="6"/>
  <c r="I71" i="6"/>
  <c r="H71" i="6"/>
  <c r="R70" i="6"/>
  <c r="Q70" i="6"/>
  <c r="N70" i="6"/>
  <c r="M70" i="6"/>
  <c r="L70" i="6"/>
  <c r="U68" i="13" s="1"/>
  <c r="J70" i="6"/>
  <c r="I70" i="6"/>
  <c r="H70" i="6"/>
  <c r="R69" i="6"/>
  <c r="Q69" i="6"/>
  <c r="N69" i="6"/>
  <c r="M69" i="6"/>
  <c r="L69" i="6"/>
  <c r="U67" i="13" s="1"/>
  <c r="J69" i="6"/>
  <c r="I69" i="6"/>
  <c r="H69" i="6"/>
  <c r="R68" i="6"/>
  <c r="Q68" i="6"/>
  <c r="N68" i="6"/>
  <c r="M68" i="6"/>
  <c r="L68" i="6"/>
  <c r="U66" i="13" s="1"/>
  <c r="J68" i="6"/>
  <c r="I68" i="6"/>
  <c r="H68" i="6"/>
  <c r="R67" i="6"/>
  <c r="Q67" i="6"/>
  <c r="N67" i="6"/>
  <c r="M67" i="6"/>
  <c r="L67" i="6"/>
  <c r="U65" i="13" s="1"/>
  <c r="J67" i="6"/>
  <c r="I67" i="6"/>
  <c r="H67" i="6"/>
  <c r="R66" i="6"/>
  <c r="Q66" i="6"/>
  <c r="N66" i="6"/>
  <c r="M66" i="6"/>
  <c r="L66" i="6"/>
  <c r="U64" i="13" s="1"/>
  <c r="J66" i="6"/>
  <c r="I66" i="6"/>
  <c r="H66" i="6"/>
  <c r="R65" i="6"/>
  <c r="Q65" i="6"/>
  <c r="N65" i="6"/>
  <c r="M65" i="6"/>
  <c r="L65" i="6"/>
  <c r="U63" i="13" s="1"/>
  <c r="J65" i="6"/>
  <c r="I65" i="6"/>
  <c r="H65" i="6"/>
  <c r="R64" i="6"/>
  <c r="Q64" i="6"/>
  <c r="N64" i="6"/>
  <c r="M64" i="6"/>
  <c r="L64" i="6"/>
  <c r="U62" i="13" s="1"/>
  <c r="J64" i="6"/>
  <c r="I64" i="6"/>
  <c r="H64" i="6"/>
  <c r="R63" i="6"/>
  <c r="Q63" i="6"/>
  <c r="N63" i="6"/>
  <c r="M63" i="6"/>
  <c r="L63" i="6"/>
  <c r="U61" i="13" s="1"/>
  <c r="J63" i="6"/>
  <c r="I63" i="6"/>
  <c r="H63" i="6"/>
  <c r="R62" i="6"/>
  <c r="Q62" i="6"/>
  <c r="N62" i="6"/>
  <c r="M62" i="6"/>
  <c r="L62" i="6"/>
  <c r="U60" i="13" s="1"/>
  <c r="J62" i="6"/>
  <c r="I62" i="6"/>
  <c r="H62" i="6"/>
  <c r="R61" i="6"/>
  <c r="Q61" i="6"/>
  <c r="N61" i="6"/>
  <c r="M61" i="6"/>
  <c r="L61" i="6"/>
  <c r="U59" i="13" s="1"/>
  <c r="J61" i="6"/>
  <c r="I61" i="6"/>
  <c r="H61" i="6"/>
  <c r="R60" i="6"/>
  <c r="Q60" i="6"/>
  <c r="N60" i="6"/>
  <c r="M60" i="6"/>
  <c r="L60" i="6"/>
  <c r="U58" i="13" s="1"/>
  <c r="J60" i="6"/>
  <c r="I60" i="6"/>
  <c r="H60" i="6"/>
  <c r="R59" i="6"/>
  <c r="Q59" i="6"/>
  <c r="N59" i="6"/>
  <c r="M59" i="6"/>
  <c r="L59" i="6"/>
  <c r="U57" i="13" s="1"/>
  <c r="J59" i="6"/>
  <c r="I59" i="6"/>
  <c r="H59" i="6"/>
  <c r="R58" i="6"/>
  <c r="Q58" i="6"/>
  <c r="N58" i="6"/>
  <c r="M58" i="6"/>
  <c r="L58" i="6"/>
  <c r="U56" i="13" s="1"/>
  <c r="J58" i="6"/>
  <c r="I58" i="6"/>
  <c r="H58" i="6"/>
  <c r="R57" i="6"/>
  <c r="Q57" i="6"/>
  <c r="N57" i="6"/>
  <c r="M57" i="6"/>
  <c r="L57" i="6"/>
  <c r="U55" i="13" s="1"/>
  <c r="J57" i="6"/>
  <c r="I57" i="6"/>
  <c r="H57" i="6"/>
  <c r="R56" i="6"/>
  <c r="Q56" i="6"/>
  <c r="N56" i="6"/>
  <c r="M56" i="6"/>
  <c r="L56" i="6"/>
  <c r="U54" i="13" s="1"/>
  <c r="J56" i="6"/>
  <c r="I56" i="6"/>
  <c r="H56" i="6"/>
  <c r="R55" i="6"/>
  <c r="Q55" i="6"/>
  <c r="N55" i="6"/>
  <c r="M55" i="6"/>
  <c r="L55" i="6"/>
  <c r="U53" i="13" s="1"/>
  <c r="J55" i="6"/>
  <c r="I55" i="6"/>
  <c r="H55" i="6"/>
  <c r="R54" i="6"/>
  <c r="Q54" i="6"/>
  <c r="N54" i="6"/>
  <c r="M54" i="6"/>
  <c r="L54" i="6"/>
  <c r="U52" i="13" s="1"/>
  <c r="J54" i="6"/>
  <c r="I54" i="6"/>
  <c r="H54" i="6"/>
  <c r="R53" i="6"/>
  <c r="Q53" i="6"/>
  <c r="N53" i="6"/>
  <c r="M53" i="6"/>
  <c r="L53" i="6"/>
  <c r="U51" i="13" s="1"/>
  <c r="J53" i="6"/>
  <c r="I53" i="6"/>
  <c r="H53" i="6"/>
  <c r="R52" i="6"/>
  <c r="Q52" i="6"/>
  <c r="N52" i="6"/>
  <c r="M52" i="6"/>
  <c r="L52" i="6"/>
  <c r="U50" i="13" s="1"/>
  <c r="J52" i="6"/>
  <c r="I52" i="6"/>
  <c r="H52" i="6"/>
  <c r="R51" i="6"/>
  <c r="Q51" i="6"/>
  <c r="N51" i="6"/>
  <c r="M51" i="6"/>
  <c r="L51" i="6"/>
  <c r="U49" i="13" s="1"/>
  <c r="J51" i="6"/>
  <c r="I51" i="6"/>
  <c r="H51" i="6"/>
  <c r="R50" i="6"/>
  <c r="Q50" i="6"/>
  <c r="N50" i="6"/>
  <c r="M50" i="6"/>
  <c r="L50" i="6"/>
  <c r="U48" i="13" s="1"/>
  <c r="J50" i="6"/>
  <c r="I50" i="6"/>
  <c r="H50" i="6"/>
  <c r="R49" i="6"/>
  <c r="Q49" i="6"/>
  <c r="N49" i="6"/>
  <c r="M49" i="6"/>
  <c r="L49" i="6"/>
  <c r="U47" i="13" s="1"/>
  <c r="J49" i="6"/>
  <c r="I49" i="6"/>
  <c r="H49" i="6"/>
  <c r="R48" i="6"/>
  <c r="Q48" i="6"/>
  <c r="N48" i="6"/>
  <c r="M48" i="6"/>
  <c r="L48" i="6"/>
  <c r="U46" i="13" s="1"/>
  <c r="J48" i="6"/>
  <c r="I48" i="6"/>
  <c r="H48" i="6"/>
  <c r="R47" i="6"/>
  <c r="Q47" i="6"/>
  <c r="N47" i="6"/>
  <c r="M47" i="6"/>
  <c r="L47" i="6"/>
  <c r="U45" i="13" s="1"/>
  <c r="J47" i="6"/>
  <c r="I47" i="6"/>
  <c r="H47" i="6"/>
  <c r="R46" i="6"/>
  <c r="Q46" i="6"/>
  <c r="N46" i="6"/>
  <c r="M46" i="6"/>
  <c r="L46" i="6"/>
  <c r="U44" i="13" s="1"/>
  <c r="J46" i="6"/>
  <c r="I46" i="6"/>
  <c r="H46" i="6"/>
  <c r="R45" i="6"/>
  <c r="Q45" i="6"/>
  <c r="N45" i="6"/>
  <c r="M45" i="6"/>
  <c r="L45" i="6"/>
  <c r="U43" i="13" s="1"/>
  <c r="J45" i="6"/>
  <c r="I45" i="6"/>
  <c r="H45" i="6"/>
  <c r="R44" i="6"/>
  <c r="Q44" i="6"/>
  <c r="N44" i="6"/>
  <c r="M44" i="6"/>
  <c r="L44" i="6"/>
  <c r="U42" i="13" s="1"/>
  <c r="J44" i="6"/>
  <c r="I44" i="6"/>
  <c r="H44" i="6"/>
  <c r="R43" i="6"/>
  <c r="Q43" i="6"/>
  <c r="N43" i="6"/>
  <c r="M43" i="6"/>
  <c r="L43" i="6"/>
  <c r="U41" i="13" s="1"/>
  <c r="J43" i="6"/>
  <c r="I43" i="6"/>
  <c r="H43" i="6"/>
  <c r="R42" i="6"/>
  <c r="Q42" i="6"/>
  <c r="N42" i="6"/>
  <c r="M42" i="6"/>
  <c r="L42" i="6"/>
  <c r="U40" i="13" s="1"/>
  <c r="J42" i="6"/>
  <c r="I42" i="6"/>
  <c r="H42" i="6"/>
  <c r="R41" i="6"/>
  <c r="Q41" i="6"/>
  <c r="N41" i="6"/>
  <c r="M41" i="6"/>
  <c r="L41" i="6"/>
  <c r="U39" i="13" s="1"/>
  <c r="J41" i="6"/>
  <c r="I41" i="6"/>
  <c r="H41" i="6"/>
  <c r="R40" i="6"/>
  <c r="Q40" i="6"/>
  <c r="N40" i="6"/>
  <c r="M40" i="6"/>
  <c r="L40" i="6"/>
  <c r="U38" i="13" s="1"/>
  <c r="J40" i="6"/>
  <c r="I40" i="6"/>
  <c r="H40" i="6"/>
  <c r="R39" i="6"/>
  <c r="Q39" i="6"/>
  <c r="N39" i="6"/>
  <c r="M39" i="6"/>
  <c r="L39" i="6"/>
  <c r="U37" i="13" s="1"/>
  <c r="J39" i="6"/>
  <c r="I39" i="6"/>
  <c r="H39" i="6"/>
  <c r="R38" i="6"/>
  <c r="Q38" i="6"/>
  <c r="N38" i="6"/>
  <c r="M38" i="6"/>
  <c r="L38" i="6"/>
  <c r="U36" i="13" s="1"/>
  <c r="J38" i="6"/>
  <c r="I38" i="6"/>
  <c r="H38" i="6"/>
  <c r="R37" i="6"/>
  <c r="Q37" i="6"/>
  <c r="N37" i="6"/>
  <c r="M37" i="6"/>
  <c r="L37" i="6"/>
  <c r="U35" i="13" s="1"/>
  <c r="J37" i="6"/>
  <c r="I37" i="6"/>
  <c r="H37" i="6"/>
  <c r="R36" i="6"/>
  <c r="Q36" i="6"/>
  <c r="N36" i="6"/>
  <c r="M36" i="6"/>
  <c r="L36" i="6"/>
  <c r="U34" i="13" s="1"/>
  <c r="J36" i="6"/>
  <c r="I36" i="6"/>
  <c r="H36" i="6"/>
  <c r="R35" i="6"/>
  <c r="Q35" i="6"/>
  <c r="N35" i="6"/>
  <c r="M35" i="6"/>
  <c r="L35" i="6"/>
  <c r="U33" i="13" s="1"/>
  <c r="J35" i="6"/>
  <c r="I35" i="6"/>
  <c r="H35" i="6"/>
  <c r="R34" i="6"/>
  <c r="Q34" i="6"/>
  <c r="N34" i="6"/>
  <c r="M34" i="6"/>
  <c r="L34" i="6"/>
  <c r="U32" i="13" s="1"/>
  <c r="J34" i="6"/>
  <c r="I34" i="6"/>
  <c r="H34" i="6"/>
  <c r="R33" i="6"/>
  <c r="Q33" i="6"/>
  <c r="N33" i="6"/>
  <c r="M33" i="6"/>
  <c r="L33" i="6"/>
  <c r="U31" i="13" s="1"/>
  <c r="J33" i="6"/>
  <c r="I33" i="6"/>
  <c r="H33" i="6"/>
  <c r="R32" i="6"/>
  <c r="Q32" i="6"/>
  <c r="N32" i="6"/>
  <c r="M32" i="6"/>
  <c r="L32" i="6"/>
  <c r="U30" i="13" s="1"/>
  <c r="J32" i="6"/>
  <c r="I32" i="6"/>
  <c r="H32" i="6"/>
  <c r="R31" i="6"/>
  <c r="Q31" i="6"/>
  <c r="N31" i="6"/>
  <c r="M31" i="6"/>
  <c r="L31" i="6"/>
  <c r="U29" i="13" s="1"/>
  <c r="J31" i="6"/>
  <c r="I31" i="6"/>
  <c r="H31" i="6"/>
  <c r="R30" i="6"/>
  <c r="Q30" i="6"/>
  <c r="N30" i="6"/>
  <c r="M30" i="6"/>
  <c r="L30" i="6"/>
  <c r="U28" i="13" s="1"/>
  <c r="J30" i="6"/>
  <c r="I30" i="6"/>
  <c r="H30" i="6"/>
  <c r="R29" i="6"/>
  <c r="Q29" i="6"/>
  <c r="N29" i="6"/>
  <c r="M29" i="6"/>
  <c r="L29" i="6"/>
  <c r="U27" i="13" s="1"/>
  <c r="J29" i="6"/>
  <c r="I29" i="6"/>
  <c r="H29" i="6"/>
  <c r="R28" i="6"/>
  <c r="Q28" i="6"/>
  <c r="N28" i="6"/>
  <c r="M28" i="6"/>
  <c r="L28" i="6"/>
  <c r="U26" i="13" s="1"/>
  <c r="J28" i="6"/>
  <c r="I28" i="6"/>
  <c r="H28" i="6"/>
  <c r="R27" i="6"/>
  <c r="Q27" i="6"/>
  <c r="N27" i="6"/>
  <c r="M27" i="6"/>
  <c r="L27" i="6"/>
  <c r="U25" i="13" s="1"/>
  <c r="J27" i="6"/>
  <c r="I27" i="6"/>
  <c r="H27" i="6"/>
  <c r="R26" i="6"/>
  <c r="Q26" i="6"/>
  <c r="N26" i="6"/>
  <c r="M26" i="6"/>
  <c r="L26" i="6"/>
  <c r="U24" i="13" s="1"/>
  <c r="J26" i="6"/>
  <c r="I26" i="6"/>
  <c r="H26" i="6"/>
  <c r="R25" i="6"/>
  <c r="Q25" i="6"/>
  <c r="N25" i="6"/>
  <c r="M25" i="6"/>
  <c r="L25" i="6"/>
  <c r="U23" i="13" s="1"/>
  <c r="J25" i="6"/>
  <c r="I25" i="6"/>
  <c r="H25" i="6"/>
  <c r="R24" i="6"/>
  <c r="Q24" i="6"/>
  <c r="N24" i="6"/>
  <c r="M24" i="6"/>
  <c r="L24" i="6"/>
  <c r="U22" i="13" s="1"/>
  <c r="J24" i="6"/>
  <c r="I24" i="6"/>
  <c r="H24" i="6"/>
  <c r="R23" i="6"/>
  <c r="Q23" i="6"/>
  <c r="N23" i="6"/>
  <c r="M23" i="6"/>
  <c r="L23" i="6"/>
  <c r="U21" i="13" s="1"/>
  <c r="J23" i="6"/>
  <c r="I23" i="6"/>
  <c r="H23" i="6"/>
  <c r="R22" i="6"/>
  <c r="Q22" i="6"/>
  <c r="N22" i="6"/>
  <c r="M22" i="6"/>
  <c r="L22" i="6"/>
  <c r="U20" i="13" s="1"/>
  <c r="J22" i="6"/>
  <c r="I22" i="6"/>
  <c r="H22" i="6"/>
  <c r="R21" i="6"/>
  <c r="Q21" i="6"/>
  <c r="N21" i="6"/>
  <c r="M21" i="6"/>
  <c r="L21" i="6"/>
  <c r="U19" i="13" s="1"/>
  <c r="J21" i="6"/>
  <c r="I21" i="6"/>
  <c r="H21" i="6"/>
  <c r="R20" i="6"/>
  <c r="Q20" i="6"/>
  <c r="N20" i="6"/>
  <c r="M20" i="6"/>
  <c r="L20" i="6"/>
  <c r="U18" i="13" s="1"/>
  <c r="J20" i="6"/>
  <c r="I20" i="6"/>
  <c r="H20" i="6"/>
  <c r="R19" i="6"/>
  <c r="Q19" i="6"/>
  <c r="N19" i="6"/>
  <c r="M19" i="6"/>
  <c r="L19" i="6"/>
  <c r="U17" i="13" s="1"/>
  <c r="J19" i="6"/>
  <c r="I19" i="6"/>
  <c r="H19" i="6"/>
  <c r="R18" i="6"/>
  <c r="Q18" i="6"/>
  <c r="N18" i="6"/>
  <c r="M18" i="6"/>
  <c r="L18" i="6"/>
  <c r="U16" i="13" s="1"/>
  <c r="J18" i="6"/>
  <c r="I18" i="6"/>
  <c r="H18" i="6"/>
  <c r="R17" i="6"/>
  <c r="Q17" i="6"/>
  <c r="N17" i="6"/>
  <c r="M17" i="6"/>
  <c r="L17" i="6"/>
  <c r="U15" i="13" s="1"/>
  <c r="J17" i="6"/>
  <c r="I17" i="6"/>
  <c r="H17" i="6"/>
  <c r="R16" i="6"/>
  <c r="Q16" i="6"/>
  <c r="N16" i="6"/>
  <c r="M16" i="6"/>
  <c r="L16" i="6"/>
  <c r="U14" i="13" s="1"/>
  <c r="J16" i="6"/>
  <c r="I16" i="6"/>
  <c r="H16" i="6"/>
  <c r="R15" i="6"/>
  <c r="Q15" i="6"/>
  <c r="N15" i="6"/>
  <c r="M15" i="6"/>
  <c r="L15" i="6"/>
  <c r="U13" i="13" s="1"/>
  <c r="J15" i="6"/>
  <c r="I15" i="6"/>
  <c r="H15" i="6"/>
  <c r="R14" i="6"/>
  <c r="Q14" i="6"/>
  <c r="N14" i="6"/>
  <c r="M14" i="6"/>
  <c r="L14" i="6"/>
  <c r="U12" i="13" s="1"/>
  <c r="J14" i="6"/>
  <c r="I14" i="6"/>
  <c r="H14" i="6"/>
  <c r="R13" i="6"/>
  <c r="Q13" i="6"/>
  <c r="N13" i="6"/>
  <c r="M13" i="6"/>
  <c r="L13" i="6"/>
  <c r="U11" i="13" s="1"/>
  <c r="J13" i="6"/>
  <c r="I13" i="6"/>
  <c r="H13" i="6"/>
  <c r="R12" i="6"/>
  <c r="Q12" i="6"/>
  <c r="N12" i="6"/>
  <c r="M12" i="6"/>
  <c r="L12" i="6"/>
  <c r="U10" i="13" s="1"/>
  <c r="J12" i="6"/>
  <c r="I12" i="6"/>
  <c r="H12" i="6"/>
  <c r="R11" i="6"/>
  <c r="Q11" i="6"/>
  <c r="N11" i="6"/>
  <c r="M11" i="6"/>
  <c r="L11" i="6"/>
  <c r="U9" i="13" s="1"/>
  <c r="J11" i="6"/>
  <c r="I11" i="6"/>
  <c r="H11" i="6"/>
  <c r="R10" i="6"/>
  <c r="Q10" i="6"/>
  <c r="N10" i="6"/>
  <c r="M10" i="6"/>
  <c r="L10" i="6"/>
  <c r="U8" i="13" s="1"/>
  <c r="J10" i="6"/>
  <c r="I10" i="6"/>
  <c r="H10" i="6"/>
  <c r="R9" i="6"/>
  <c r="Q9" i="6"/>
  <c r="N9" i="6"/>
  <c r="M9" i="6"/>
  <c r="L9" i="6"/>
  <c r="U7" i="13" s="1"/>
  <c r="J9" i="6"/>
  <c r="I9" i="6"/>
  <c r="H9" i="6"/>
  <c r="R8" i="6"/>
  <c r="Q8" i="6"/>
  <c r="N8" i="6"/>
  <c r="M8" i="6"/>
  <c r="L8" i="6"/>
  <c r="U6" i="13" s="1"/>
  <c r="J8" i="6"/>
  <c r="I8" i="6"/>
  <c r="H8" i="6"/>
  <c r="R7" i="6"/>
  <c r="Q7" i="6"/>
  <c r="N7" i="6"/>
  <c r="M7" i="6"/>
  <c r="L7" i="6"/>
  <c r="U5" i="13" s="1"/>
  <c r="J7" i="6"/>
  <c r="I7" i="6"/>
  <c r="H7" i="6"/>
  <c r="R5" i="6"/>
  <c r="Q5" i="6"/>
  <c r="N5" i="6"/>
  <c r="M5" i="6"/>
  <c r="L5" i="6"/>
  <c r="U3" i="13" s="1"/>
  <c r="J5" i="6"/>
  <c r="I5" i="6"/>
  <c r="H5" i="6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U95" i="13"/>
  <c r="V5" i="3" l="1"/>
  <c r="W5" i="3"/>
  <c r="J3" i="2"/>
  <c r="M3" i="2"/>
  <c r="I3" i="2"/>
  <c r="V3" i="2" s="1"/>
  <c r="K3" i="2"/>
  <c r="T3" i="2"/>
  <c r="U3" i="2"/>
  <c r="V2" i="3"/>
  <c r="L2" i="3"/>
  <c r="J2" i="3"/>
  <c r="I2" i="3"/>
  <c r="S3" i="6"/>
  <c r="P3" i="6"/>
  <c r="O3" i="6"/>
  <c r="K3" i="6"/>
  <c r="N3" i="6"/>
  <c r="U4" i="3"/>
  <c r="S3" i="13" s="1"/>
  <c r="G3" i="6"/>
  <c r="F3" i="6"/>
  <c r="E3" i="6"/>
  <c r="S20" i="6" l="1"/>
  <c r="S80" i="6"/>
  <c r="S76" i="6"/>
  <c r="S33" i="6"/>
  <c r="S48" i="6"/>
  <c r="S96" i="6"/>
  <c r="S25" i="6"/>
  <c r="S30" i="6"/>
  <c r="S36" i="6"/>
  <c r="S21" i="6"/>
  <c r="S78" i="6"/>
  <c r="S17" i="6"/>
  <c r="S31" i="6"/>
  <c r="S22" i="6"/>
  <c r="S77" i="6"/>
  <c r="S87" i="6"/>
  <c r="S32" i="6"/>
  <c r="S59" i="6"/>
  <c r="S13" i="6"/>
  <c r="S64" i="6"/>
  <c r="S8" i="6"/>
  <c r="S57" i="6"/>
  <c r="S34" i="6"/>
  <c r="S95" i="6"/>
  <c r="S23" i="6"/>
  <c r="S9" i="6"/>
  <c r="S40" i="6"/>
  <c r="S37" i="6"/>
  <c r="S5" i="6"/>
  <c r="S28" i="6"/>
  <c r="S15" i="6"/>
  <c r="S39" i="6"/>
  <c r="S63" i="6"/>
  <c r="S84" i="6"/>
  <c r="S71" i="6"/>
  <c r="S69" i="6"/>
  <c r="S14" i="6"/>
  <c r="S82" i="6"/>
  <c r="S61" i="6"/>
  <c r="S81" i="6"/>
  <c r="S43" i="6"/>
  <c r="S60" i="6"/>
  <c r="S52" i="6"/>
  <c r="S35" i="6"/>
  <c r="S26" i="6"/>
  <c r="S38" i="6"/>
  <c r="S67" i="6"/>
  <c r="S94" i="6"/>
  <c r="S24" i="6"/>
  <c r="S54" i="6"/>
  <c r="S18" i="6"/>
  <c r="S10" i="6"/>
  <c r="S7" i="6"/>
  <c r="S98" i="6"/>
  <c r="S97" i="6"/>
  <c r="S41" i="6"/>
  <c r="S11" i="6"/>
  <c r="S27" i="6"/>
  <c r="S90" i="6"/>
  <c r="S89" i="6"/>
  <c r="S88" i="6"/>
  <c r="S16" i="6"/>
  <c r="S86" i="6"/>
  <c r="S42" i="6"/>
  <c r="S12" i="6"/>
  <c r="S19" i="6"/>
  <c r="S29" i="6"/>
  <c r="S73" i="6"/>
  <c r="S72" i="6"/>
  <c r="S70" i="6"/>
  <c r="S68" i="6"/>
  <c r="S66" i="6"/>
  <c r="S56" i="6"/>
  <c r="S55" i="6"/>
  <c r="S53" i="6"/>
  <c r="S51" i="6"/>
  <c r="S50" i="6"/>
  <c r="S49" i="6"/>
  <c r="S47" i="6"/>
  <c r="S46" i="6"/>
  <c r="S45" i="6"/>
  <c r="S44" i="6"/>
  <c r="S93" i="6"/>
  <c r="S92" i="6"/>
  <c r="S91" i="6"/>
  <c r="S85" i="6"/>
  <c r="S83" i="6"/>
  <c r="S79" i="6"/>
  <c r="S75" i="6"/>
  <c r="S74" i="6"/>
  <c r="S65" i="6"/>
  <c r="S62" i="6"/>
  <c r="S58" i="6"/>
  <c r="P94" i="6"/>
  <c r="P62" i="6"/>
  <c r="P55" i="6"/>
  <c r="P10" i="6"/>
  <c r="P13" i="6"/>
  <c r="P96" i="6"/>
  <c r="P33" i="6"/>
  <c r="P83" i="6"/>
  <c r="P8" i="6"/>
  <c r="P20" i="6"/>
  <c r="P51" i="6"/>
  <c r="P28" i="6"/>
  <c r="P98" i="6"/>
  <c r="P18" i="6"/>
  <c r="P41" i="6"/>
  <c r="P30" i="6"/>
  <c r="P87" i="6"/>
  <c r="P97" i="6"/>
  <c r="P92" i="6"/>
  <c r="P11" i="6"/>
  <c r="P16" i="6"/>
  <c r="P29" i="6"/>
  <c r="P91" i="6"/>
  <c r="P56" i="6"/>
  <c r="P95" i="6"/>
  <c r="P42" i="6"/>
  <c r="P54" i="6"/>
  <c r="P88" i="6"/>
  <c r="P34" i="6"/>
  <c r="P76" i="6"/>
  <c r="P75" i="6"/>
  <c r="P23" i="6"/>
  <c r="P58" i="6"/>
  <c r="P74" i="6"/>
  <c r="P12" i="6"/>
  <c r="P84" i="6"/>
  <c r="P86" i="6"/>
  <c r="P14" i="6"/>
  <c r="P35" i="6"/>
  <c r="P25" i="6"/>
  <c r="P19" i="6"/>
  <c r="P81" i="6"/>
  <c r="P85" i="6"/>
  <c r="P5" i="6"/>
  <c r="P80" i="6"/>
  <c r="P24" i="6"/>
  <c r="P69" i="6"/>
  <c r="P93" i="6"/>
  <c r="P79" i="6"/>
  <c r="P68" i="6"/>
  <c r="P43" i="6"/>
  <c r="P63" i="6"/>
  <c r="P61" i="6"/>
  <c r="P60" i="6"/>
  <c r="P59" i="6"/>
  <c r="P57" i="6"/>
  <c r="P36" i="6"/>
  <c r="P67" i="6"/>
  <c r="P66" i="6"/>
  <c r="P52" i="6"/>
  <c r="P73" i="6"/>
  <c r="P22" i="6"/>
  <c r="P50" i="6"/>
  <c r="P26" i="6"/>
  <c r="P49" i="6"/>
  <c r="P48" i="6"/>
  <c r="P37" i="6"/>
  <c r="P47" i="6"/>
  <c r="P44" i="6"/>
  <c r="P46" i="6"/>
  <c r="P17" i="6"/>
  <c r="P45" i="6"/>
  <c r="P70" i="6"/>
  <c r="P32" i="6"/>
  <c r="P38" i="6"/>
  <c r="P7" i="6"/>
  <c r="P90" i="6"/>
  <c r="P89" i="6"/>
  <c r="P9" i="6"/>
  <c r="P65" i="6"/>
  <c r="P82" i="6"/>
  <c r="P21" i="6"/>
  <c r="P78" i="6"/>
  <c r="P77" i="6"/>
  <c r="P15" i="6"/>
  <c r="P27" i="6"/>
  <c r="P72" i="6"/>
  <c r="P71" i="6"/>
  <c r="P39" i="6"/>
  <c r="P64" i="6"/>
  <c r="P40" i="6"/>
  <c r="P31" i="6"/>
  <c r="P53" i="6"/>
  <c r="O31" i="6"/>
  <c r="O8" i="6"/>
  <c r="O7" i="6"/>
  <c r="O18" i="6"/>
  <c r="O5" i="6"/>
  <c r="O44" i="6"/>
  <c r="O26" i="6"/>
  <c r="O19" i="6"/>
  <c r="O43" i="6"/>
  <c r="O42" i="6"/>
  <c r="O20" i="6"/>
  <c r="O41" i="6"/>
  <c r="O29" i="6"/>
  <c r="O40" i="6"/>
  <c r="O21" i="6"/>
  <c r="O39" i="6"/>
  <c r="O38" i="6"/>
  <c r="O27" i="6"/>
  <c r="O22" i="6"/>
  <c r="O37" i="6"/>
  <c r="O36" i="6"/>
  <c r="O23" i="6"/>
  <c r="O35" i="6"/>
  <c r="O34" i="6"/>
  <c r="O24" i="6"/>
  <c r="O97" i="6"/>
  <c r="O79" i="6"/>
  <c r="O77" i="6"/>
  <c r="O85" i="6"/>
  <c r="O73" i="6"/>
  <c r="O93" i="6"/>
  <c r="O72" i="6"/>
  <c r="O33" i="6"/>
  <c r="O70" i="6"/>
  <c r="O69" i="6"/>
  <c r="O90" i="6"/>
  <c r="O89" i="6"/>
  <c r="O91" i="6"/>
  <c r="O66" i="6"/>
  <c r="O87" i="6"/>
  <c r="O62" i="6"/>
  <c r="O92" i="6"/>
  <c r="O86" i="6"/>
  <c r="O28" i="6"/>
  <c r="O84" i="6"/>
  <c r="O83" i="6"/>
  <c r="O82" i="6"/>
  <c r="O55" i="6"/>
  <c r="O81" i="6"/>
  <c r="O80" i="6"/>
  <c r="O76" i="6"/>
  <c r="O51" i="6"/>
  <c r="O75" i="6"/>
  <c r="O95" i="6"/>
  <c r="O50" i="6"/>
  <c r="O71" i="6"/>
  <c r="O9" i="6"/>
  <c r="O49" i="6"/>
  <c r="O32" i="6"/>
  <c r="O48" i="6"/>
  <c r="O64" i="6"/>
  <c r="O25" i="6"/>
  <c r="O47" i="6"/>
  <c r="O60" i="6"/>
  <c r="O58" i="6"/>
  <c r="O46" i="6"/>
  <c r="O10" i="6"/>
  <c r="O54" i="6"/>
  <c r="O45" i="6"/>
  <c r="O53" i="6"/>
  <c r="O98" i="6"/>
  <c r="O11" i="6"/>
  <c r="O96" i="6"/>
  <c r="O94" i="6"/>
  <c r="O88" i="6"/>
  <c r="O12" i="6"/>
  <c r="O13" i="6"/>
  <c r="O78" i="6"/>
  <c r="O14" i="6"/>
  <c r="O68" i="6"/>
  <c r="O15" i="6"/>
  <c r="O65" i="6"/>
  <c r="O63" i="6"/>
  <c r="O74" i="6"/>
  <c r="O61" i="6"/>
  <c r="O16" i="6"/>
  <c r="O67" i="6"/>
  <c r="O59" i="6"/>
  <c r="O57" i="6"/>
  <c r="O17" i="6"/>
  <c r="O56" i="6"/>
  <c r="O30" i="6"/>
  <c r="O52" i="6"/>
  <c r="K85" i="6"/>
  <c r="K84" i="3" s="1"/>
  <c r="K24" i="6"/>
  <c r="K19" i="6"/>
  <c r="K56" i="6"/>
  <c r="K55" i="3" s="1"/>
  <c r="K15" i="6"/>
  <c r="K14" i="3" s="1"/>
  <c r="K79" i="6"/>
  <c r="K78" i="3" s="1"/>
  <c r="K78" i="6"/>
  <c r="K77" i="3" s="1"/>
  <c r="K14" i="6"/>
  <c r="K13" i="3" s="1"/>
  <c r="K77" i="6"/>
  <c r="K76" i="3" s="1"/>
  <c r="K75" i="6"/>
  <c r="K74" i="3" s="1"/>
  <c r="K8" i="6"/>
  <c r="K7" i="3" s="1"/>
  <c r="K43" i="6"/>
  <c r="K81" i="6"/>
  <c r="K80" i="3" s="1"/>
  <c r="K13" i="6"/>
  <c r="K12" i="3" s="1"/>
  <c r="K83" i="6"/>
  <c r="K82" i="3" s="1"/>
  <c r="K84" i="6"/>
  <c r="K83" i="3" s="1"/>
  <c r="K70" i="6"/>
  <c r="K69" i="3" s="1"/>
  <c r="K12" i="6"/>
  <c r="K11" i="3" s="1"/>
  <c r="K7" i="6"/>
  <c r="K6" i="3" s="1"/>
  <c r="K42" i="6"/>
  <c r="K41" i="3" s="1"/>
  <c r="K96" i="6"/>
  <c r="K95" i="3" s="1"/>
  <c r="K20" i="6"/>
  <c r="K19" i="3" s="1"/>
  <c r="K65" i="6"/>
  <c r="K64" i="3" s="1"/>
  <c r="K27" i="6"/>
  <c r="K26" i="3" s="1"/>
  <c r="K97" i="6"/>
  <c r="K96" i="3" s="1"/>
  <c r="K98" i="6"/>
  <c r="K97" i="3" s="1"/>
  <c r="K18" i="6"/>
  <c r="K17" i="3" s="1"/>
  <c r="K60" i="6"/>
  <c r="K59" i="3" s="1"/>
  <c r="K41" i="6"/>
  <c r="K40" i="3" s="1"/>
  <c r="K58" i="6"/>
  <c r="K57" i="3" s="1"/>
  <c r="K30" i="6"/>
  <c r="K29" i="3" s="1"/>
  <c r="K11" i="6"/>
  <c r="K10" i="3" s="1"/>
  <c r="K31" i="6"/>
  <c r="K30" i="3" s="1"/>
  <c r="K62" i="6"/>
  <c r="K61" i="3" s="1"/>
  <c r="K59" i="6"/>
  <c r="K58" i="3" s="1"/>
  <c r="K53" i="6"/>
  <c r="K52" i="3" s="1"/>
  <c r="K57" i="6"/>
  <c r="K56" i="3" s="1"/>
  <c r="K40" i="6"/>
  <c r="K39" i="3" s="1"/>
  <c r="K29" i="6"/>
  <c r="K28" i="3" s="1"/>
  <c r="K51" i="6"/>
  <c r="K50" i="3" s="1"/>
  <c r="K21" i="6"/>
  <c r="K20" i="3" s="1"/>
  <c r="K17" i="6"/>
  <c r="K16" i="3" s="1"/>
  <c r="K25" i="6"/>
  <c r="K24" i="3" s="1"/>
  <c r="K50" i="6"/>
  <c r="K49" i="3" s="1"/>
  <c r="K10" i="6"/>
  <c r="K9" i="3" s="1"/>
  <c r="K52" i="6"/>
  <c r="K51" i="3" s="1"/>
  <c r="K39" i="6"/>
  <c r="K38" i="3" s="1"/>
  <c r="K49" i="6"/>
  <c r="K48" i="3" s="1"/>
  <c r="K63" i="6"/>
  <c r="K62" i="3" s="1"/>
  <c r="K28" i="6"/>
  <c r="K27" i="3" s="1"/>
  <c r="K48" i="6"/>
  <c r="K47" i="3" s="1"/>
  <c r="K32" i="6"/>
  <c r="K31" i="3" s="1"/>
  <c r="K68" i="6"/>
  <c r="K67" i="3" s="1"/>
  <c r="K69" i="6"/>
  <c r="K68" i="3" s="1"/>
  <c r="K47" i="6"/>
  <c r="K46" i="3" s="1"/>
  <c r="K5" i="6"/>
  <c r="K38" i="6"/>
  <c r="K37" i="3" s="1"/>
  <c r="K26" i="6"/>
  <c r="K25" i="3" s="1"/>
  <c r="K46" i="6"/>
  <c r="K45" i="3" s="1"/>
  <c r="K22" i="6"/>
  <c r="K21" i="3" s="1"/>
  <c r="K61" i="6"/>
  <c r="K60" i="3" s="1"/>
  <c r="K71" i="6"/>
  <c r="K70" i="3" s="1"/>
  <c r="K45" i="6"/>
  <c r="K44" i="3" s="1"/>
  <c r="K9" i="6"/>
  <c r="K8" i="3" s="1"/>
  <c r="K16" i="6"/>
  <c r="K15" i="3" s="1"/>
  <c r="K37" i="6"/>
  <c r="K36" i="3" s="1"/>
  <c r="K72" i="6"/>
  <c r="K71" i="3" s="1"/>
  <c r="K73" i="6"/>
  <c r="K72" i="3" s="1"/>
  <c r="K90" i="6"/>
  <c r="K89" i="3" s="1"/>
  <c r="K74" i="6"/>
  <c r="K73" i="3" s="1"/>
  <c r="K89" i="6"/>
  <c r="K88" i="3" s="1"/>
  <c r="K88" i="6"/>
  <c r="K87" i="3" s="1"/>
  <c r="K95" i="6"/>
  <c r="K94" i="3" s="1"/>
  <c r="K76" i="6"/>
  <c r="K75" i="3" s="1"/>
  <c r="K66" i="6"/>
  <c r="K65" i="3" s="1"/>
  <c r="K82" i="6"/>
  <c r="K81" i="3" s="1"/>
  <c r="K36" i="6"/>
  <c r="K35" i="3" s="1"/>
  <c r="K94" i="6"/>
  <c r="K93" i="3" s="1"/>
  <c r="K23" i="6"/>
  <c r="K22" i="3" s="1"/>
  <c r="K54" i="6"/>
  <c r="K53" i="3" s="1"/>
  <c r="K80" i="6"/>
  <c r="K79" i="3" s="1"/>
  <c r="K93" i="6"/>
  <c r="K92" i="3" s="1"/>
  <c r="K44" i="6"/>
  <c r="K35" i="6"/>
  <c r="K86" i="6"/>
  <c r="K67" i="6"/>
  <c r="K33" i="6"/>
  <c r="K87" i="6"/>
  <c r="K64" i="6"/>
  <c r="K92" i="6"/>
  <c r="K91" i="6"/>
  <c r="K55" i="6"/>
  <c r="K34" i="6"/>
  <c r="G59" i="6"/>
  <c r="G57" i="6"/>
  <c r="G53" i="6"/>
  <c r="G94" i="6"/>
  <c r="G83" i="6"/>
  <c r="G68" i="6"/>
  <c r="G63" i="6"/>
  <c r="G56" i="6"/>
  <c r="G55" i="6"/>
  <c r="G52" i="6"/>
  <c r="G8" i="6"/>
  <c r="G7" i="6"/>
  <c r="G5" i="6"/>
  <c r="G58" i="6"/>
  <c r="G44" i="6"/>
  <c r="G43" i="6"/>
  <c r="G42" i="6"/>
  <c r="G41" i="6"/>
  <c r="G54" i="6"/>
  <c r="G40" i="6"/>
  <c r="G38" i="6"/>
  <c r="G37" i="6"/>
  <c r="G36" i="6"/>
  <c r="G35" i="6"/>
  <c r="G34" i="6"/>
  <c r="G51" i="6"/>
  <c r="G33" i="6"/>
  <c r="G32" i="6"/>
  <c r="G31" i="6"/>
  <c r="G30" i="6"/>
  <c r="G50" i="6"/>
  <c r="G29" i="6"/>
  <c r="G28" i="6"/>
  <c r="G39" i="6"/>
  <c r="G27" i="6"/>
  <c r="G49" i="6"/>
  <c r="G26" i="6"/>
  <c r="G25" i="6"/>
  <c r="G24" i="6"/>
  <c r="G48" i="6"/>
  <c r="G23" i="6"/>
  <c r="G22" i="6"/>
  <c r="G21" i="6"/>
  <c r="G20" i="6"/>
  <c r="G47" i="6"/>
  <c r="G19" i="6"/>
  <c r="G18" i="6"/>
  <c r="G17" i="6"/>
  <c r="G16" i="6"/>
  <c r="G46" i="6"/>
  <c r="G15" i="6"/>
  <c r="G14" i="6"/>
  <c r="G13" i="6"/>
  <c r="G12" i="6"/>
  <c r="G45" i="6"/>
  <c r="G11" i="6"/>
  <c r="G10" i="6"/>
  <c r="G9" i="6"/>
  <c r="G95" i="6"/>
  <c r="G91" i="6"/>
  <c r="G93" i="6"/>
  <c r="G88" i="6"/>
  <c r="G90" i="6"/>
  <c r="G81" i="6"/>
  <c r="G97" i="6"/>
  <c r="G89" i="6"/>
  <c r="G80" i="6"/>
  <c r="G96" i="6"/>
  <c r="G85" i="6"/>
  <c r="G92" i="6"/>
  <c r="G79" i="6"/>
  <c r="G87" i="6"/>
  <c r="G82" i="6"/>
  <c r="G78" i="6"/>
  <c r="G86" i="6"/>
  <c r="G84" i="6"/>
  <c r="G76" i="6"/>
  <c r="G77" i="6"/>
  <c r="G75" i="6"/>
  <c r="G74" i="6"/>
  <c r="G70" i="6"/>
  <c r="G73" i="6"/>
  <c r="G69" i="6"/>
  <c r="G67" i="6"/>
  <c r="G66" i="6"/>
  <c r="G72" i="6"/>
  <c r="G71" i="6"/>
  <c r="G64" i="6"/>
  <c r="G65" i="6"/>
  <c r="G61" i="6"/>
  <c r="G98" i="6"/>
  <c r="G62" i="6"/>
  <c r="G60" i="6"/>
  <c r="F39" i="6"/>
  <c r="F72" i="6"/>
  <c r="F33" i="6"/>
  <c r="F50" i="6"/>
  <c r="F61" i="6"/>
  <c r="F62" i="6"/>
  <c r="F16" i="6"/>
  <c r="F89" i="6"/>
  <c r="F49" i="6"/>
  <c r="F52" i="6"/>
  <c r="F90" i="6"/>
  <c r="F63" i="6"/>
  <c r="F91" i="6"/>
  <c r="F65" i="6"/>
  <c r="F92" i="6"/>
  <c r="F93" i="6"/>
  <c r="F86" i="6"/>
  <c r="F94" i="6"/>
  <c r="F95" i="6"/>
  <c r="F85" i="6"/>
  <c r="F66" i="6"/>
  <c r="F69" i="6"/>
  <c r="F48" i="6"/>
  <c r="F47" i="6"/>
  <c r="F34" i="6"/>
  <c r="F15" i="6"/>
  <c r="F27" i="6"/>
  <c r="F24" i="6"/>
  <c r="F73" i="6"/>
  <c r="F31" i="6"/>
  <c r="F35" i="6"/>
  <c r="F14" i="6"/>
  <c r="F36" i="6"/>
  <c r="F46" i="6"/>
  <c r="F23" i="6"/>
  <c r="F77" i="6"/>
  <c r="F81" i="6"/>
  <c r="F82" i="6"/>
  <c r="F45" i="6"/>
  <c r="F37" i="6"/>
  <c r="F13" i="6"/>
  <c r="F38" i="6"/>
  <c r="F84" i="6"/>
  <c r="F22" i="6"/>
  <c r="F88" i="6"/>
  <c r="F32" i="6"/>
  <c r="F12" i="6"/>
  <c r="F96" i="6"/>
  <c r="F40" i="6"/>
  <c r="F29" i="6"/>
  <c r="F70" i="6"/>
  <c r="F21" i="6"/>
  <c r="F97" i="6"/>
  <c r="F98" i="6"/>
  <c r="F68" i="6"/>
  <c r="F67" i="6"/>
  <c r="F41" i="6"/>
  <c r="F87" i="6"/>
  <c r="F11" i="6"/>
  <c r="F42" i="6"/>
  <c r="F83" i="6"/>
  <c r="F54" i="6"/>
  <c r="F55" i="6"/>
  <c r="F20" i="6"/>
  <c r="F78" i="6"/>
  <c r="F25" i="6"/>
  <c r="F10" i="6"/>
  <c r="F43" i="6"/>
  <c r="F64" i="6"/>
  <c r="F60" i="6"/>
  <c r="F44" i="6"/>
  <c r="F59" i="6"/>
  <c r="F30" i="6"/>
  <c r="F19" i="6"/>
  <c r="F74" i="6"/>
  <c r="F71" i="6"/>
  <c r="F5" i="6"/>
  <c r="F9" i="6"/>
  <c r="F75" i="6"/>
  <c r="F7" i="6"/>
  <c r="F28" i="6"/>
  <c r="F18" i="6"/>
  <c r="F76" i="6"/>
  <c r="F79" i="6"/>
  <c r="F56" i="6"/>
  <c r="F8" i="6"/>
  <c r="F57" i="6"/>
  <c r="F58" i="6"/>
  <c r="F51" i="6"/>
  <c r="F80" i="6"/>
  <c r="F26" i="6"/>
  <c r="F17" i="6"/>
  <c r="F53" i="6"/>
  <c r="E86" i="6"/>
  <c r="E93" i="6"/>
  <c r="E87" i="6"/>
  <c r="E88" i="6"/>
  <c r="E92" i="6"/>
  <c r="E90" i="6"/>
  <c r="E91" i="6"/>
  <c r="E89" i="6"/>
  <c r="E34" i="6"/>
  <c r="E84" i="6"/>
  <c r="E96" i="6"/>
  <c r="E83" i="6"/>
  <c r="E98" i="6"/>
  <c r="E24" i="6"/>
  <c r="E35" i="6"/>
  <c r="E36" i="6"/>
  <c r="E27" i="6"/>
  <c r="E77" i="6"/>
  <c r="E23" i="6"/>
  <c r="E76" i="6"/>
  <c r="E37" i="6"/>
  <c r="E38" i="6"/>
  <c r="E29" i="6"/>
  <c r="E22" i="6"/>
  <c r="E39" i="6"/>
  <c r="E97" i="6"/>
  <c r="E40" i="6"/>
  <c r="E21" i="6"/>
  <c r="E41" i="6"/>
  <c r="E42" i="6"/>
  <c r="E66" i="6"/>
  <c r="E65" i="6"/>
  <c r="E64" i="6"/>
  <c r="E30" i="6"/>
  <c r="E20" i="6"/>
  <c r="E43" i="6"/>
  <c r="E61" i="6"/>
  <c r="E44" i="6"/>
  <c r="E19" i="6"/>
  <c r="E5" i="6"/>
  <c r="E7" i="6"/>
  <c r="E55" i="6"/>
  <c r="E53" i="6"/>
  <c r="E18" i="6"/>
  <c r="E8" i="6"/>
  <c r="E51" i="6"/>
  <c r="E17" i="6"/>
  <c r="E12" i="6"/>
  <c r="E75" i="6"/>
  <c r="E50" i="6"/>
  <c r="E49" i="6"/>
  <c r="E14" i="6"/>
  <c r="E52" i="6"/>
  <c r="E28" i="6"/>
  <c r="E26" i="6"/>
  <c r="E46" i="6"/>
  <c r="E11" i="6"/>
  <c r="E48" i="6"/>
  <c r="E80" i="6"/>
  <c r="E56" i="6"/>
  <c r="E79" i="6"/>
  <c r="E63" i="6"/>
  <c r="E31" i="6"/>
  <c r="E60" i="6"/>
  <c r="E32" i="6"/>
  <c r="E10" i="6"/>
  <c r="E15" i="6"/>
  <c r="E45" i="6"/>
  <c r="E67" i="6"/>
  <c r="E81" i="6"/>
  <c r="E71" i="6"/>
  <c r="E70" i="6"/>
  <c r="E69" i="6"/>
  <c r="E68" i="6"/>
  <c r="E72" i="6"/>
  <c r="E25" i="6"/>
  <c r="E13" i="6"/>
  <c r="E9" i="6"/>
  <c r="E73" i="6"/>
  <c r="E16" i="6"/>
  <c r="E85" i="6"/>
  <c r="E33" i="6"/>
  <c r="E62" i="6"/>
  <c r="E78" i="6"/>
  <c r="E59" i="6"/>
  <c r="E58" i="6"/>
  <c r="E57" i="6"/>
  <c r="E95" i="6"/>
  <c r="E54" i="6"/>
  <c r="E47" i="6"/>
  <c r="E74" i="6"/>
  <c r="E94" i="6"/>
  <c r="E82" i="6"/>
  <c r="L6" i="3"/>
  <c r="W4" i="3"/>
  <c r="V4" i="3"/>
  <c r="T3" i="13" s="1"/>
  <c r="L95" i="3"/>
  <c r="L94" i="3"/>
  <c r="L90" i="3"/>
  <c r="L86" i="3"/>
  <c r="L74" i="3"/>
  <c r="L69" i="3"/>
  <c r="L76" i="3"/>
  <c r="L64" i="3"/>
  <c r="L50" i="3"/>
  <c r="L43" i="3"/>
  <c r="L38" i="3"/>
  <c r="L13" i="3"/>
  <c r="L88" i="3"/>
  <c r="L67" i="3"/>
  <c r="L40" i="3"/>
  <c r="L9" i="3"/>
  <c r="L85" i="3"/>
  <c r="L62" i="3"/>
  <c r="L37" i="3"/>
  <c r="L84" i="3"/>
  <c r="L61" i="3"/>
  <c r="L33" i="3"/>
  <c r="L4" i="3"/>
  <c r="L83" i="3"/>
  <c r="L59" i="3"/>
  <c r="L31" i="3"/>
  <c r="L97" i="3"/>
  <c r="L81" i="3"/>
  <c r="L57" i="3"/>
  <c r="L28" i="3"/>
  <c r="L96" i="3"/>
  <c r="L79" i="3"/>
  <c r="L55" i="3"/>
  <c r="L26" i="3"/>
  <c r="L52" i="3"/>
  <c r="L25" i="3"/>
  <c r="L21" i="3"/>
  <c r="L93" i="3"/>
  <c r="L73" i="3"/>
  <c r="L49" i="3"/>
  <c r="L19" i="3"/>
  <c r="I4" i="3"/>
  <c r="L91" i="3"/>
  <c r="L71" i="3"/>
  <c r="L45" i="3"/>
  <c r="L16" i="3"/>
  <c r="L89" i="3"/>
  <c r="L77" i="3"/>
  <c r="L65" i="3"/>
  <c r="L53" i="3"/>
  <c r="L41" i="3"/>
  <c r="L29" i="3"/>
  <c r="L17" i="3"/>
  <c r="L87" i="3"/>
  <c r="L75" i="3"/>
  <c r="L63" i="3"/>
  <c r="L51" i="3"/>
  <c r="L39" i="3"/>
  <c r="L27" i="3"/>
  <c r="L15" i="3"/>
  <c r="L14" i="3"/>
  <c r="L72" i="3"/>
  <c r="L60" i="3"/>
  <c r="L48" i="3"/>
  <c r="L36" i="3"/>
  <c r="L24" i="3"/>
  <c r="L12" i="3"/>
  <c r="L47" i="3"/>
  <c r="L35" i="3"/>
  <c r="L23" i="3"/>
  <c r="L11" i="3"/>
  <c r="L82" i="3"/>
  <c r="L70" i="3"/>
  <c r="L58" i="3"/>
  <c r="L46" i="3"/>
  <c r="L34" i="3"/>
  <c r="L22" i="3"/>
  <c r="L10" i="3"/>
  <c r="L92" i="3"/>
  <c r="L80" i="3"/>
  <c r="L68" i="3"/>
  <c r="L56" i="3"/>
  <c r="L44" i="3"/>
  <c r="L32" i="3"/>
  <c r="L20" i="3"/>
  <c r="L8" i="3"/>
  <c r="L7" i="3"/>
  <c r="L78" i="3"/>
  <c r="L66" i="3"/>
  <c r="L54" i="3"/>
  <c r="L42" i="3"/>
  <c r="L30" i="3"/>
  <c r="L18" i="3"/>
  <c r="K18" i="3"/>
  <c r="K23" i="3"/>
  <c r="K32" i="3"/>
  <c r="K33" i="3"/>
  <c r="K34" i="3"/>
  <c r="K42" i="3"/>
  <c r="K43" i="3"/>
  <c r="K54" i="3"/>
  <c r="K63" i="3"/>
  <c r="K66" i="3"/>
  <c r="K85" i="3"/>
  <c r="K86" i="3"/>
  <c r="K90" i="3"/>
  <c r="K91" i="3"/>
  <c r="V10" i="13"/>
  <c r="V11" i="13"/>
  <c r="V26" i="13"/>
  <c r="V57" i="13"/>
  <c r="V74" i="13"/>
  <c r="V90" i="13"/>
  <c r="V91" i="13"/>
  <c r="V94" i="13"/>
  <c r="U31" i="3"/>
  <c r="U39" i="3"/>
  <c r="U56" i="3"/>
  <c r="U57" i="3"/>
  <c r="U58" i="3"/>
  <c r="U59" i="3"/>
  <c r="U72" i="3"/>
  <c r="U74" i="3"/>
  <c r="U88" i="3" l="1"/>
  <c r="I88" i="3"/>
  <c r="V58" i="13"/>
  <c r="J59" i="3"/>
  <c r="U91" i="3"/>
  <c r="I91" i="3"/>
  <c r="U79" i="3"/>
  <c r="I79" i="3"/>
  <c r="U55" i="3"/>
  <c r="I55" i="3"/>
  <c r="U43" i="3"/>
  <c r="I43" i="3"/>
  <c r="U19" i="3"/>
  <c r="I19" i="3"/>
  <c r="V3" i="13"/>
  <c r="J4" i="3"/>
  <c r="V85" i="13"/>
  <c r="J86" i="3"/>
  <c r="V73" i="13"/>
  <c r="J74" i="3"/>
  <c r="V61" i="13"/>
  <c r="J62" i="3"/>
  <c r="V49" i="13"/>
  <c r="J50" i="3"/>
  <c r="V37" i="13"/>
  <c r="J38" i="3"/>
  <c r="V25" i="13"/>
  <c r="J26" i="3"/>
  <c r="V13" i="13"/>
  <c r="J14" i="3"/>
  <c r="R92" i="2"/>
  <c r="O93" i="13" s="1"/>
  <c r="S92" i="2"/>
  <c r="M92" i="2"/>
  <c r="J80" i="2"/>
  <c r="E81" i="13" s="1"/>
  <c r="M80" i="2"/>
  <c r="S80" i="2"/>
  <c r="R80" i="2"/>
  <c r="O81" i="13" s="1"/>
  <c r="J68" i="2"/>
  <c r="S68" i="2"/>
  <c r="R68" i="2"/>
  <c r="O69" i="13" s="1"/>
  <c r="M68" i="2"/>
  <c r="J56" i="2"/>
  <c r="S56" i="2"/>
  <c r="M56" i="2"/>
  <c r="R56" i="2"/>
  <c r="O57" i="13" s="1"/>
  <c r="J44" i="2"/>
  <c r="E45" i="13" s="1"/>
  <c r="M44" i="2"/>
  <c r="S44" i="2"/>
  <c r="R44" i="2"/>
  <c r="O45" i="13" s="1"/>
  <c r="J32" i="2"/>
  <c r="R32" i="2"/>
  <c r="O33" i="13" s="1"/>
  <c r="M32" i="2"/>
  <c r="S32" i="2"/>
  <c r="R20" i="2"/>
  <c r="O21" i="13" s="1"/>
  <c r="S20" i="2"/>
  <c r="M20" i="2"/>
  <c r="I8" i="2"/>
  <c r="D9" i="13" s="1"/>
  <c r="R8" i="2"/>
  <c r="O9" i="13" s="1"/>
  <c r="M8" i="2"/>
  <c r="S8" i="2"/>
  <c r="W12" i="2"/>
  <c r="I13" i="13" s="1"/>
  <c r="Q12" i="2"/>
  <c r="N13" i="13" s="1"/>
  <c r="W92" i="2"/>
  <c r="I93" i="13" s="1"/>
  <c r="Q92" i="2"/>
  <c r="N93" i="13" s="1"/>
  <c r="W80" i="2"/>
  <c r="I81" i="13" s="1"/>
  <c r="Q80" i="2"/>
  <c r="N81" i="13" s="1"/>
  <c r="W68" i="2"/>
  <c r="I69" i="13" s="1"/>
  <c r="Q68" i="2"/>
  <c r="N69" i="13" s="1"/>
  <c r="W56" i="2"/>
  <c r="I57" i="13" s="1"/>
  <c r="Q56" i="2"/>
  <c r="N57" i="13" s="1"/>
  <c r="Q44" i="2"/>
  <c r="N45" i="13" s="1"/>
  <c r="W44" i="2"/>
  <c r="I45" i="13" s="1"/>
  <c r="W32" i="2"/>
  <c r="I33" i="13" s="1"/>
  <c r="Q32" i="2"/>
  <c r="N33" i="13" s="1"/>
  <c r="W20" i="2"/>
  <c r="I21" i="13" s="1"/>
  <c r="Q20" i="2"/>
  <c r="N21" i="13" s="1"/>
  <c r="O95" i="2"/>
  <c r="L96" i="13" s="1"/>
  <c r="X95" i="2"/>
  <c r="J96" i="13" s="1"/>
  <c r="P95" i="2"/>
  <c r="N95" i="2"/>
  <c r="K96" i="13" s="1"/>
  <c r="O83" i="2"/>
  <c r="L84" i="13" s="1"/>
  <c r="X83" i="2"/>
  <c r="J84" i="13" s="1"/>
  <c r="P83" i="2"/>
  <c r="M84" i="13" s="1"/>
  <c r="N83" i="2"/>
  <c r="K84" i="13" s="1"/>
  <c r="O71" i="2"/>
  <c r="L72" i="13" s="1"/>
  <c r="X71" i="2"/>
  <c r="J72" i="13" s="1"/>
  <c r="P71" i="2"/>
  <c r="N71" i="2"/>
  <c r="K72" i="13" s="1"/>
  <c r="O59" i="2"/>
  <c r="L60" i="13" s="1"/>
  <c r="X59" i="2"/>
  <c r="J60" i="13" s="1"/>
  <c r="N59" i="2"/>
  <c r="P59" i="2"/>
  <c r="O47" i="2"/>
  <c r="L48" i="13" s="1"/>
  <c r="X47" i="2"/>
  <c r="J48" i="13" s="1"/>
  <c r="N47" i="2"/>
  <c r="K48" i="13" s="1"/>
  <c r="P47" i="2"/>
  <c r="M48" i="13" s="1"/>
  <c r="O35" i="2"/>
  <c r="L36" i="13" s="1"/>
  <c r="X35" i="2"/>
  <c r="J36" i="13" s="1"/>
  <c r="P35" i="2"/>
  <c r="N35" i="2"/>
  <c r="O23" i="2"/>
  <c r="L24" i="13" s="1"/>
  <c r="X23" i="2"/>
  <c r="J24" i="13" s="1"/>
  <c r="P23" i="2"/>
  <c r="M24" i="13" s="1"/>
  <c r="N23" i="2"/>
  <c r="K24" i="13" s="1"/>
  <c r="O11" i="2"/>
  <c r="L12" i="13" s="1"/>
  <c r="X11" i="2"/>
  <c r="J12" i="13" s="1"/>
  <c r="P11" i="2"/>
  <c r="M12" i="13" s="1"/>
  <c r="N11" i="2"/>
  <c r="K12" i="13" s="1"/>
  <c r="J12" i="3"/>
  <c r="I57" i="3"/>
  <c r="V46" i="13"/>
  <c r="J47" i="3"/>
  <c r="S30" i="13"/>
  <c r="T30" i="13" s="1"/>
  <c r="V31" i="3"/>
  <c r="W31" i="3"/>
  <c r="U7" i="3"/>
  <c r="I7" i="3"/>
  <c r="U90" i="3"/>
  <c r="I90" i="3"/>
  <c r="U78" i="3"/>
  <c r="I78" i="3"/>
  <c r="U66" i="3"/>
  <c r="I66" i="3"/>
  <c r="U54" i="3"/>
  <c r="I54" i="3"/>
  <c r="U42" i="3"/>
  <c r="I42" i="3"/>
  <c r="U30" i="3"/>
  <c r="I30" i="3"/>
  <c r="U18" i="3"/>
  <c r="I18" i="3"/>
  <c r="U6" i="3"/>
  <c r="I6" i="3"/>
  <c r="V96" i="13"/>
  <c r="J97" i="3"/>
  <c r="V84" i="13"/>
  <c r="J85" i="3"/>
  <c r="V72" i="13"/>
  <c r="J73" i="3"/>
  <c r="V60" i="13"/>
  <c r="J61" i="3"/>
  <c r="V48" i="13"/>
  <c r="J49" i="3"/>
  <c r="V36" i="13"/>
  <c r="J37" i="3"/>
  <c r="V24" i="13"/>
  <c r="J25" i="3"/>
  <c r="V12" i="13"/>
  <c r="J13" i="3"/>
  <c r="I39" i="3"/>
  <c r="V34" i="13"/>
  <c r="J35" i="3"/>
  <c r="U67" i="3"/>
  <c r="I67" i="3"/>
  <c r="U89" i="3"/>
  <c r="I89" i="3"/>
  <c r="U77" i="3"/>
  <c r="I77" i="3"/>
  <c r="U65" i="3"/>
  <c r="I65" i="3"/>
  <c r="U53" i="3"/>
  <c r="I53" i="3"/>
  <c r="U41" i="3"/>
  <c r="I41" i="3"/>
  <c r="U29" i="3"/>
  <c r="I29" i="3"/>
  <c r="U17" i="3"/>
  <c r="I17" i="3"/>
  <c r="V95" i="13"/>
  <c r="J96" i="3"/>
  <c r="V83" i="13"/>
  <c r="J84" i="3"/>
  <c r="V71" i="13"/>
  <c r="J72" i="3"/>
  <c r="V59" i="13"/>
  <c r="J60" i="3"/>
  <c r="V47" i="13"/>
  <c r="J48" i="3"/>
  <c r="V35" i="13"/>
  <c r="J36" i="3"/>
  <c r="V23" i="13"/>
  <c r="J24" i="3"/>
  <c r="J90" i="2"/>
  <c r="S90" i="2"/>
  <c r="M90" i="2"/>
  <c r="R90" i="2"/>
  <c r="O91" i="13" s="1"/>
  <c r="J78" i="2"/>
  <c r="E79" i="13" s="1"/>
  <c r="M78" i="2"/>
  <c r="S78" i="2"/>
  <c r="R78" i="2"/>
  <c r="O79" i="13" s="1"/>
  <c r="J66" i="2"/>
  <c r="E67" i="13" s="1"/>
  <c r="R66" i="2"/>
  <c r="O67" i="13" s="1"/>
  <c r="M66" i="2"/>
  <c r="S66" i="2"/>
  <c r="J54" i="2"/>
  <c r="S54" i="2"/>
  <c r="R54" i="2"/>
  <c r="O55" i="13" s="1"/>
  <c r="M54" i="2"/>
  <c r="J42" i="2"/>
  <c r="E43" i="13" s="1"/>
  <c r="S42" i="2"/>
  <c r="R42" i="2"/>
  <c r="O43" i="13" s="1"/>
  <c r="M42" i="2"/>
  <c r="J30" i="2"/>
  <c r="E31" i="13" s="1"/>
  <c r="S30" i="2"/>
  <c r="R30" i="2"/>
  <c r="O31" i="13" s="1"/>
  <c r="M30" i="2"/>
  <c r="I18" i="2"/>
  <c r="D19" i="13" s="1"/>
  <c r="R18" i="2"/>
  <c r="O19" i="13" s="1"/>
  <c r="S18" i="2"/>
  <c r="M18" i="2"/>
  <c r="I6" i="2"/>
  <c r="D7" i="13" s="1"/>
  <c r="S6" i="2"/>
  <c r="R6" i="2"/>
  <c r="O7" i="13" s="1"/>
  <c r="M6" i="2"/>
  <c r="W10" i="2"/>
  <c r="I11" i="13" s="1"/>
  <c r="Q10" i="2"/>
  <c r="N11" i="13" s="1"/>
  <c r="I72" i="3"/>
  <c r="U76" i="3"/>
  <c r="I76" i="3"/>
  <c r="U64" i="3"/>
  <c r="I64" i="3"/>
  <c r="U52" i="3"/>
  <c r="I52" i="3"/>
  <c r="U40" i="3"/>
  <c r="I40" i="3"/>
  <c r="U28" i="3"/>
  <c r="I28" i="3"/>
  <c r="U16" i="3"/>
  <c r="I16" i="3"/>
  <c r="U87" i="3"/>
  <c r="I87" i="3"/>
  <c r="U75" i="3"/>
  <c r="I75" i="3"/>
  <c r="U63" i="3"/>
  <c r="I63" i="3"/>
  <c r="U51" i="3"/>
  <c r="I51" i="3"/>
  <c r="S38" i="13"/>
  <c r="W39" i="3"/>
  <c r="U27" i="3"/>
  <c r="I27" i="3"/>
  <c r="U15" i="3"/>
  <c r="I15" i="3"/>
  <c r="V93" i="13"/>
  <c r="J94" i="3"/>
  <c r="V81" i="13"/>
  <c r="J82" i="3"/>
  <c r="V69" i="13"/>
  <c r="J70" i="3"/>
  <c r="V45" i="13"/>
  <c r="J46" i="3"/>
  <c r="V33" i="13"/>
  <c r="J34" i="3"/>
  <c r="V21" i="13"/>
  <c r="J22" i="3"/>
  <c r="V9" i="13"/>
  <c r="J10" i="3"/>
  <c r="J58" i="3"/>
  <c r="J91" i="3"/>
  <c r="I31" i="3"/>
  <c r="V82" i="13"/>
  <c r="J83" i="3"/>
  <c r="V70" i="13"/>
  <c r="J71" i="3"/>
  <c r="U86" i="3"/>
  <c r="I86" i="3"/>
  <c r="S73" i="13"/>
  <c r="W74" i="3"/>
  <c r="V74" i="3"/>
  <c r="U62" i="3"/>
  <c r="I62" i="3"/>
  <c r="U50" i="3"/>
  <c r="I50" i="3"/>
  <c r="U38" i="3"/>
  <c r="I38" i="3"/>
  <c r="U26" i="3"/>
  <c r="I26" i="3"/>
  <c r="U14" i="3"/>
  <c r="I14" i="3"/>
  <c r="V92" i="13"/>
  <c r="J93" i="3"/>
  <c r="V80" i="13"/>
  <c r="J81" i="3"/>
  <c r="V68" i="13"/>
  <c r="J69" i="3"/>
  <c r="V56" i="13"/>
  <c r="J57" i="3"/>
  <c r="V44" i="13"/>
  <c r="J45" i="3"/>
  <c r="V32" i="13"/>
  <c r="J33" i="3"/>
  <c r="V20" i="13"/>
  <c r="J21" i="3"/>
  <c r="V8" i="13"/>
  <c r="J9" i="3"/>
  <c r="K87" i="2"/>
  <c r="F88" i="13" s="1"/>
  <c r="R87" i="2"/>
  <c r="O88" i="13" s="1"/>
  <c r="S87" i="2"/>
  <c r="M87" i="2"/>
  <c r="K75" i="2"/>
  <c r="F76" i="13" s="1"/>
  <c r="S75" i="2"/>
  <c r="R75" i="2"/>
  <c r="O76" i="13" s="1"/>
  <c r="M75" i="2"/>
  <c r="K63" i="2"/>
  <c r="F64" i="13" s="1"/>
  <c r="M63" i="2"/>
  <c r="S63" i="2"/>
  <c r="R63" i="2"/>
  <c r="O64" i="13" s="1"/>
  <c r="K51" i="2"/>
  <c r="F52" i="13" s="1"/>
  <c r="R51" i="2"/>
  <c r="O52" i="13" s="1"/>
  <c r="S51" i="2"/>
  <c r="M51" i="2"/>
  <c r="K39" i="2"/>
  <c r="F40" i="13" s="1"/>
  <c r="S39" i="2"/>
  <c r="M39" i="2"/>
  <c r="R39" i="2"/>
  <c r="O40" i="13" s="1"/>
  <c r="K27" i="2"/>
  <c r="F28" i="13" s="1"/>
  <c r="R27" i="2"/>
  <c r="O28" i="13" s="1"/>
  <c r="S27" i="2"/>
  <c r="M27" i="2"/>
  <c r="K15" i="2"/>
  <c r="F16" i="13" s="1"/>
  <c r="S15" i="2"/>
  <c r="R15" i="2"/>
  <c r="O16" i="13" s="1"/>
  <c r="M15" i="2"/>
  <c r="Q2" i="2"/>
  <c r="N3" i="13" s="1"/>
  <c r="W2" i="2"/>
  <c r="I3" i="13" s="1"/>
  <c r="Q7" i="2"/>
  <c r="N8" i="13" s="1"/>
  <c r="W7" i="2"/>
  <c r="I8" i="13" s="1"/>
  <c r="Q87" i="2"/>
  <c r="N88" i="13" s="1"/>
  <c r="W87" i="2"/>
  <c r="I88" i="13" s="1"/>
  <c r="W75" i="2"/>
  <c r="I76" i="13" s="1"/>
  <c r="Q75" i="2"/>
  <c r="N76" i="13" s="1"/>
  <c r="W63" i="2"/>
  <c r="I64" i="13" s="1"/>
  <c r="Q63" i="2"/>
  <c r="N64" i="13" s="1"/>
  <c r="Q51" i="2"/>
  <c r="N52" i="13" s="1"/>
  <c r="W51" i="2"/>
  <c r="I52" i="13" s="1"/>
  <c r="W39" i="2"/>
  <c r="I40" i="13" s="1"/>
  <c r="Q39" i="2"/>
  <c r="N40" i="13" s="1"/>
  <c r="Q27" i="2"/>
  <c r="N28" i="13" s="1"/>
  <c r="W27" i="2"/>
  <c r="I28" i="13" s="1"/>
  <c r="O90" i="2"/>
  <c r="L91" i="13" s="1"/>
  <c r="X90" i="2"/>
  <c r="J91" i="13" s="1"/>
  <c r="P90" i="2"/>
  <c r="N90" i="2"/>
  <c r="K91" i="13" s="1"/>
  <c r="O78" i="2"/>
  <c r="L79" i="13" s="1"/>
  <c r="P78" i="2"/>
  <c r="X78" i="2"/>
  <c r="J79" i="13" s="1"/>
  <c r="N78" i="2"/>
  <c r="K79" i="13" s="1"/>
  <c r="O66" i="2"/>
  <c r="L67" i="13" s="1"/>
  <c r="P66" i="2"/>
  <c r="N66" i="2"/>
  <c r="K67" i="13" s="1"/>
  <c r="X66" i="2"/>
  <c r="J67" i="13" s="1"/>
  <c r="O54" i="2"/>
  <c r="X54" i="2"/>
  <c r="J55" i="13" s="1"/>
  <c r="P54" i="2"/>
  <c r="M55" i="13" s="1"/>
  <c r="N54" i="2"/>
  <c r="K55" i="13" s="1"/>
  <c r="O42" i="2"/>
  <c r="L43" i="13" s="1"/>
  <c r="P42" i="2"/>
  <c r="N42" i="2"/>
  <c r="K43" i="13" s="1"/>
  <c r="X42" i="2"/>
  <c r="J43" i="13" s="1"/>
  <c r="O30" i="2"/>
  <c r="L31" i="13" s="1"/>
  <c r="P30" i="2"/>
  <c r="X30" i="2"/>
  <c r="J31" i="13" s="1"/>
  <c r="N30" i="2"/>
  <c r="O18" i="2"/>
  <c r="P18" i="2"/>
  <c r="M19" i="13" s="1"/>
  <c r="X18" i="2"/>
  <c r="J19" i="13" s="1"/>
  <c r="N18" i="2"/>
  <c r="O6" i="2"/>
  <c r="L7" i="13" s="1"/>
  <c r="P6" i="2"/>
  <c r="N6" i="2"/>
  <c r="X6" i="2"/>
  <c r="J7" i="13" s="1"/>
  <c r="I58" i="3"/>
  <c r="U97" i="3"/>
  <c r="I97" i="3"/>
  <c r="U85" i="3"/>
  <c r="I85" i="3"/>
  <c r="U73" i="3"/>
  <c r="I73" i="3"/>
  <c r="U61" i="3"/>
  <c r="I61" i="3"/>
  <c r="U49" i="3"/>
  <c r="I49" i="3"/>
  <c r="U37" i="3"/>
  <c r="I37" i="3"/>
  <c r="U25" i="3"/>
  <c r="I25" i="3"/>
  <c r="U13" i="3"/>
  <c r="I13" i="3"/>
  <c r="V79" i="13"/>
  <c r="J80" i="3"/>
  <c r="V67" i="13"/>
  <c r="J68" i="3"/>
  <c r="V55" i="13"/>
  <c r="J56" i="3"/>
  <c r="V43" i="13"/>
  <c r="J44" i="3"/>
  <c r="V31" i="13"/>
  <c r="J32" i="3"/>
  <c r="V19" i="13"/>
  <c r="J20" i="3"/>
  <c r="V7" i="13"/>
  <c r="J8" i="3"/>
  <c r="K86" i="2"/>
  <c r="F87" i="13" s="1"/>
  <c r="R86" i="2"/>
  <c r="O87" i="13" s="1"/>
  <c r="M86" i="2"/>
  <c r="S86" i="2"/>
  <c r="K74" i="2"/>
  <c r="F75" i="13" s="1"/>
  <c r="R74" i="2"/>
  <c r="O75" i="13" s="1"/>
  <c r="S74" i="2"/>
  <c r="M74" i="2"/>
  <c r="K62" i="2"/>
  <c r="F63" i="13" s="1"/>
  <c r="S62" i="2"/>
  <c r="M62" i="2"/>
  <c r="R62" i="2"/>
  <c r="O63" i="13" s="1"/>
  <c r="K50" i="2"/>
  <c r="F51" i="13" s="1"/>
  <c r="R50" i="2"/>
  <c r="O51" i="13" s="1"/>
  <c r="M50" i="2"/>
  <c r="S50" i="2"/>
  <c r="K38" i="2"/>
  <c r="F39" i="13" s="1"/>
  <c r="S38" i="2"/>
  <c r="R38" i="2"/>
  <c r="O39" i="13" s="1"/>
  <c r="M38" i="2"/>
  <c r="K26" i="2"/>
  <c r="F27" i="13" s="1"/>
  <c r="M26" i="2"/>
  <c r="S26" i="2"/>
  <c r="R26" i="2"/>
  <c r="O27" i="13" s="1"/>
  <c r="K14" i="2"/>
  <c r="F15" i="13" s="1"/>
  <c r="R14" i="2"/>
  <c r="O15" i="13" s="1"/>
  <c r="M14" i="2"/>
  <c r="S14" i="2"/>
  <c r="Q18" i="2"/>
  <c r="N19" i="13" s="1"/>
  <c r="W18" i="2"/>
  <c r="I19" i="13" s="1"/>
  <c r="W6" i="2"/>
  <c r="I7" i="13" s="1"/>
  <c r="Q6" i="2"/>
  <c r="N7" i="13" s="1"/>
  <c r="W86" i="2"/>
  <c r="I87" i="13" s="1"/>
  <c r="Q86" i="2"/>
  <c r="N87" i="13" s="1"/>
  <c r="Q74" i="2"/>
  <c r="N75" i="13" s="1"/>
  <c r="W74" i="2"/>
  <c r="I75" i="13" s="1"/>
  <c r="W62" i="2"/>
  <c r="I63" i="13" s="1"/>
  <c r="Q62" i="2"/>
  <c r="N63" i="13" s="1"/>
  <c r="W50" i="2"/>
  <c r="I51" i="13" s="1"/>
  <c r="Q50" i="2"/>
  <c r="N51" i="13" s="1"/>
  <c r="W38" i="2"/>
  <c r="I39" i="13" s="1"/>
  <c r="Q38" i="2"/>
  <c r="N39" i="13" s="1"/>
  <c r="Q26" i="2"/>
  <c r="N27" i="13" s="1"/>
  <c r="W26" i="2"/>
  <c r="I27" i="13" s="1"/>
  <c r="O89" i="2"/>
  <c r="L90" i="13" s="1"/>
  <c r="X89" i="2"/>
  <c r="J90" i="13" s="1"/>
  <c r="P89" i="2"/>
  <c r="M90" i="13" s="1"/>
  <c r="N89" i="2"/>
  <c r="K90" i="13" s="1"/>
  <c r="O77" i="2"/>
  <c r="L78" i="13" s="1"/>
  <c r="N77" i="2"/>
  <c r="K78" i="13" s="1"/>
  <c r="P77" i="2"/>
  <c r="X77" i="2"/>
  <c r="J78" i="13" s="1"/>
  <c r="O65" i="2"/>
  <c r="L66" i="13" s="1"/>
  <c r="P65" i="2"/>
  <c r="M66" i="13" s="1"/>
  <c r="N65" i="2"/>
  <c r="K66" i="13" s="1"/>
  <c r="X65" i="2"/>
  <c r="J66" i="13" s="1"/>
  <c r="O53" i="2"/>
  <c r="X53" i="2"/>
  <c r="J54" i="13" s="1"/>
  <c r="N53" i="2"/>
  <c r="K54" i="13" s="1"/>
  <c r="P53" i="2"/>
  <c r="M54" i="13" s="1"/>
  <c r="O41" i="2"/>
  <c r="N41" i="2"/>
  <c r="K42" i="13" s="1"/>
  <c r="X41" i="2"/>
  <c r="J42" i="13" s="1"/>
  <c r="P41" i="2"/>
  <c r="O29" i="2"/>
  <c r="L30" i="13" s="1"/>
  <c r="N29" i="2"/>
  <c r="K30" i="13" s="1"/>
  <c r="X29" i="2"/>
  <c r="J30" i="13" s="1"/>
  <c r="P29" i="2"/>
  <c r="O17" i="2"/>
  <c r="X17" i="2"/>
  <c r="J18" i="13" s="1"/>
  <c r="N17" i="2"/>
  <c r="K18" i="13" s="1"/>
  <c r="P17" i="2"/>
  <c r="O5" i="2"/>
  <c r="L6" i="13" s="1"/>
  <c r="P5" i="2"/>
  <c r="M6" i="13" s="1"/>
  <c r="X5" i="2"/>
  <c r="J6" i="13" s="1"/>
  <c r="N5" i="2"/>
  <c r="K6" i="13" s="1"/>
  <c r="M31" i="13"/>
  <c r="J92" i="3"/>
  <c r="I74" i="3"/>
  <c r="J75" i="3"/>
  <c r="V22" i="13"/>
  <c r="J23" i="3"/>
  <c r="U96" i="3"/>
  <c r="I96" i="3"/>
  <c r="U84" i="3"/>
  <c r="I84" i="3"/>
  <c r="S71" i="13"/>
  <c r="T71" i="13" s="1"/>
  <c r="W72" i="3"/>
  <c r="V72" i="3"/>
  <c r="U60" i="3"/>
  <c r="I60" i="3"/>
  <c r="U48" i="3"/>
  <c r="I48" i="3"/>
  <c r="U36" i="3"/>
  <c r="I36" i="3"/>
  <c r="U24" i="3"/>
  <c r="I24" i="3"/>
  <c r="U12" i="3"/>
  <c r="I12" i="3"/>
  <c r="V78" i="13"/>
  <c r="J79" i="3"/>
  <c r="V66" i="13"/>
  <c r="J67" i="3"/>
  <c r="V54" i="13"/>
  <c r="J55" i="3"/>
  <c r="V42" i="13"/>
  <c r="J43" i="3"/>
  <c r="V30" i="13"/>
  <c r="J31" i="3"/>
  <c r="V18" i="13"/>
  <c r="J19" i="3"/>
  <c r="V6" i="13"/>
  <c r="J7" i="3"/>
  <c r="K85" i="2"/>
  <c r="F86" i="13" s="1"/>
  <c r="R85" i="2"/>
  <c r="O86" i="13" s="1"/>
  <c r="S85" i="2"/>
  <c r="M85" i="2"/>
  <c r="K73" i="2"/>
  <c r="F74" i="13" s="1"/>
  <c r="R73" i="2"/>
  <c r="O74" i="13" s="1"/>
  <c r="S73" i="2"/>
  <c r="M73" i="2"/>
  <c r="K61" i="2"/>
  <c r="F62" i="13" s="1"/>
  <c r="R61" i="2"/>
  <c r="O62" i="13" s="1"/>
  <c r="S61" i="2"/>
  <c r="M61" i="2"/>
  <c r="K49" i="2"/>
  <c r="F50" i="13" s="1"/>
  <c r="S49" i="2"/>
  <c r="R49" i="2"/>
  <c r="O50" i="13" s="1"/>
  <c r="M49" i="2"/>
  <c r="K37" i="2"/>
  <c r="F38" i="13" s="1"/>
  <c r="R37" i="2"/>
  <c r="O38" i="13" s="1"/>
  <c r="S37" i="2"/>
  <c r="M37" i="2"/>
  <c r="K25" i="2"/>
  <c r="F26" i="13" s="1"/>
  <c r="S25" i="2"/>
  <c r="R25" i="2"/>
  <c r="O26" i="13" s="1"/>
  <c r="M25" i="2"/>
  <c r="K13" i="2"/>
  <c r="F14" i="13" s="1"/>
  <c r="S13" i="2"/>
  <c r="R13" i="2"/>
  <c r="O14" i="13" s="1"/>
  <c r="M13" i="2"/>
  <c r="W17" i="2"/>
  <c r="I18" i="13" s="1"/>
  <c r="Q17" i="2"/>
  <c r="N18" i="13" s="1"/>
  <c r="Q5" i="2"/>
  <c r="N6" i="13" s="1"/>
  <c r="W5" i="2"/>
  <c r="I6" i="13" s="1"/>
  <c r="W85" i="2"/>
  <c r="I86" i="13" s="1"/>
  <c r="Q85" i="2"/>
  <c r="N86" i="13" s="1"/>
  <c r="W73" i="2"/>
  <c r="I74" i="13" s="1"/>
  <c r="Q73" i="2"/>
  <c r="N74" i="13" s="1"/>
  <c r="Q61" i="2"/>
  <c r="N62" i="13" s="1"/>
  <c r="W61" i="2"/>
  <c r="I62" i="13" s="1"/>
  <c r="W49" i="2"/>
  <c r="I50" i="13" s="1"/>
  <c r="Q49" i="2"/>
  <c r="N50" i="13" s="1"/>
  <c r="W37" i="2"/>
  <c r="I38" i="13" s="1"/>
  <c r="Q37" i="2"/>
  <c r="N38" i="13" s="1"/>
  <c r="W25" i="2"/>
  <c r="I26" i="13" s="1"/>
  <c r="Q25" i="2"/>
  <c r="N26" i="13" s="1"/>
  <c r="O88" i="2"/>
  <c r="L89" i="13" s="1"/>
  <c r="X88" i="2"/>
  <c r="J89" i="13" s="1"/>
  <c r="P88" i="2"/>
  <c r="M89" i="13" s="1"/>
  <c r="N88" i="2"/>
  <c r="K89" i="13" s="1"/>
  <c r="P76" i="2"/>
  <c r="M77" i="13" s="1"/>
  <c r="O76" i="2"/>
  <c r="L77" i="13" s="1"/>
  <c r="N76" i="2"/>
  <c r="X76" i="2"/>
  <c r="J77" i="13" s="1"/>
  <c r="O64" i="2"/>
  <c r="L65" i="13" s="1"/>
  <c r="P64" i="2"/>
  <c r="M65" i="13" s="1"/>
  <c r="N64" i="2"/>
  <c r="K65" i="13" s="1"/>
  <c r="X64" i="2"/>
  <c r="J65" i="13" s="1"/>
  <c r="P52" i="2"/>
  <c r="O52" i="2"/>
  <c r="L53" i="13" s="1"/>
  <c r="X52" i="2"/>
  <c r="J53" i="13" s="1"/>
  <c r="N52" i="2"/>
  <c r="K53" i="13" s="1"/>
  <c r="P40" i="2"/>
  <c r="X40" i="2"/>
  <c r="J41" i="13" s="1"/>
  <c r="O40" i="2"/>
  <c r="N40" i="2"/>
  <c r="K41" i="13" s="1"/>
  <c r="P28" i="2"/>
  <c r="M29" i="13" s="1"/>
  <c r="O28" i="2"/>
  <c r="N28" i="2"/>
  <c r="K29" i="13" s="1"/>
  <c r="X28" i="2"/>
  <c r="J29" i="13" s="1"/>
  <c r="O16" i="2"/>
  <c r="P16" i="2"/>
  <c r="M17" i="13" s="1"/>
  <c r="X16" i="2"/>
  <c r="J17" i="13" s="1"/>
  <c r="N16" i="2"/>
  <c r="K17" i="13" s="1"/>
  <c r="P4" i="2"/>
  <c r="M5" i="13" s="1"/>
  <c r="O4" i="2"/>
  <c r="L5" i="13" s="1"/>
  <c r="X4" i="2"/>
  <c r="J5" i="13" s="1"/>
  <c r="N4" i="2"/>
  <c r="I56" i="3"/>
  <c r="V39" i="3"/>
  <c r="U95" i="3"/>
  <c r="I95" i="3"/>
  <c r="U83" i="3"/>
  <c r="I83" i="3"/>
  <c r="U71" i="3"/>
  <c r="I71" i="3"/>
  <c r="S58" i="13"/>
  <c r="T58" i="13" s="1"/>
  <c r="V59" i="3"/>
  <c r="W59" i="3"/>
  <c r="U47" i="3"/>
  <c r="I47" i="3"/>
  <c r="U35" i="3"/>
  <c r="I35" i="3"/>
  <c r="U23" i="3"/>
  <c r="I23" i="3"/>
  <c r="U11" i="3"/>
  <c r="I11" i="3"/>
  <c r="V89" i="13"/>
  <c r="J90" i="3"/>
  <c r="V77" i="13"/>
  <c r="J78" i="3"/>
  <c r="V65" i="13"/>
  <c r="J66" i="3"/>
  <c r="V53" i="13"/>
  <c r="J54" i="3"/>
  <c r="V41" i="13"/>
  <c r="J42" i="3"/>
  <c r="V29" i="13"/>
  <c r="J30" i="3"/>
  <c r="V17" i="13"/>
  <c r="J18" i="3"/>
  <c r="V5" i="13"/>
  <c r="J6" i="3"/>
  <c r="M2" i="2"/>
  <c r="S2" i="2"/>
  <c r="R2" i="2"/>
  <c r="O3" i="13" s="1"/>
  <c r="K84" i="2"/>
  <c r="F85" i="13" s="1"/>
  <c r="R84" i="2"/>
  <c r="O85" i="13" s="1"/>
  <c r="M84" i="2"/>
  <c r="S84" i="2"/>
  <c r="K72" i="2"/>
  <c r="F73" i="13" s="1"/>
  <c r="S72" i="2"/>
  <c r="M72" i="2"/>
  <c r="R72" i="2"/>
  <c r="O73" i="13" s="1"/>
  <c r="K60" i="2"/>
  <c r="F61" i="13" s="1"/>
  <c r="R60" i="2"/>
  <c r="O61" i="13" s="1"/>
  <c r="S60" i="2"/>
  <c r="M60" i="2"/>
  <c r="K48" i="2"/>
  <c r="F49" i="13" s="1"/>
  <c r="R48" i="2"/>
  <c r="O49" i="13" s="1"/>
  <c r="S48" i="2"/>
  <c r="M48" i="2"/>
  <c r="K36" i="2"/>
  <c r="F37" i="13" s="1"/>
  <c r="S36" i="2"/>
  <c r="M36" i="2"/>
  <c r="R36" i="2"/>
  <c r="O37" i="13" s="1"/>
  <c r="K24" i="2"/>
  <c r="F25" i="13" s="1"/>
  <c r="M24" i="2"/>
  <c r="S24" i="2"/>
  <c r="R24" i="2"/>
  <c r="O25" i="13" s="1"/>
  <c r="K12" i="2"/>
  <c r="F13" i="13" s="1"/>
  <c r="M12" i="2"/>
  <c r="S12" i="2"/>
  <c r="R12" i="2"/>
  <c r="O13" i="13" s="1"/>
  <c r="Q16" i="2"/>
  <c r="N17" i="13" s="1"/>
  <c r="W16" i="2"/>
  <c r="I17" i="13" s="1"/>
  <c r="Q4" i="2"/>
  <c r="N5" i="13" s="1"/>
  <c r="W4" i="2"/>
  <c r="I5" i="13" s="1"/>
  <c r="W84" i="2"/>
  <c r="I85" i="13" s="1"/>
  <c r="Q84" i="2"/>
  <c r="N85" i="13" s="1"/>
  <c r="Q72" i="2"/>
  <c r="N73" i="13" s="1"/>
  <c r="W72" i="2"/>
  <c r="I73" i="13" s="1"/>
  <c r="W60" i="2"/>
  <c r="I61" i="13" s="1"/>
  <c r="Q60" i="2"/>
  <c r="N61" i="13" s="1"/>
  <c r="Q48" i="2"/>
  <c r="N49" i="13" s="1"/>
  <c r="W48" i="2"/>
  <c r="I49" i="13" s="1"/>
  <c r="J11" i="3"/>
  <c r="U94" i="3"/>
  <c r="I94" i="3"/>
  <c r="U82" i="3"/>
  <c r="I82" i="3"/>
  <c r="U70" i="3"/>
  <c r="I70" i="3"/>
  <c r="S57" i="13"/>
  <c r="T57" i="13" s="1"/>
  <c r="V58" i="3"/>
  <c r="W58" i="3"/>
  <c r="U46" i="3"/>
  <c r="I46" i="3"/>
  <c r="U34" i="3"/>
  <c r="I34" i="3"/>
  <c r="U22" i="3"/>
  <c r="I22" i="3"/>
  <c r="U10" i="3"/>
  <c r="I10" i="3"/>
  <c r="V88" i="13"/>
  <c r="J89" i="3"/>
  <c r="V76" i="13"/>
  <c r="J77" i="3"/>
  <c r="V64" i="13"/>
  <c r="J65" i="3"/>
  <c r="V52" i="13"/>
  <c r="J53" i="3"/>
  <c r="V40" i="13"/>
  <c r="J41" i="3"/>
  <c r="V28" i="13"/>
  <c r="J29" i="3"/>
  <c r="V16" i="13"/>
  <c r="J17" i="3"/>
  <c r="E69" i="13"/>
  <c r="E57" i="13"/>
  <c r="E33" i="13"/>
  <c r="M95" i="2"/>
  <c r="S95" i="2"/>
  <c r="R95" i="2"/>
  <c r="O96" i="13" s="1"/>
  <c r="J83" i="2"/>
  <c r="E84" i="13" s="1"/>
  <c r="M83" i="2"/>
  <c r="S83" i="2"/>
  <c r="R83" i="2"/>
  <c r="O84" i="13" s="1"/>
  <c r="J71" i="2"/>
  <c r="E72" i="13" s="1"/>
  <c r="R71" i="2"/>
  <c r="O72" i="13" s="1"/>
  <c r="S71" i="2"/>
  <c r="M71" i="2"/>
  <c r="J59" i="2"/>
  <c r="E60" i="13" s="1"/>
  <c r="S59" i="2"/>
  <c r="R59" i="2"/>
  <c r="O60" i="13" s="1"/>
  <c r="M59" i="2"/>
  <c r="J47" i="2"/>
  <c r="E48" i="13" s="1"/>
  <c r="R47" i="2"/>
  <c r="O48" i="13" s="1"/>
  <c r="M47" i="2"/>
  <c r="S47" i="2"/>
  <c r="J35" i="2"/>
  <c r="E36" i="13" s="1"/>
  <c r="R35" i="2"/>
  <c r="O36" i="13" s="1"/>
  <c r="S35" i="2"/>
  <c r="M35" i="2"/>
  <c r="S23" i="2"/>
  <c r="M23" i="2"/>
  <c r="R23" i="2"/>
  <c r="O24" i="13" s="1"/>
  <c r="J11" i="2"/>
  <c r="E12" i="13" s="1"/>
  <c r="M11" i="2"/>
  <c r="S11" i="2"/>
  <c r="R11" i="2"/>
  <c r="O12" i="13" s="1"/>
  <c r="W15" i="2"/>
  <c r="I16" i="13" s="1"/>
  <c r="Q15" i="2"/>
  <c r="N16" i="13" s="1"/>
  <c r="Q95" i="2"/>
  <c r="N96" i="13" s="1"/>
  <c r="W95" i="2"/>
  <c r="I96" i="13" s="1"/>
  <c r="W83" i="2"/>
  <c r="I84" i="13" s="1"/>
  <c r="Q83" i="2"/>
  <c r="N84" i="13" s="1"/>
  <c r="W71" i="2"/>
  <c r="I72" i="13" s="1"/>
  <c r="Q71" i="2"/>
  <c r="N72" i="13" s="1"/>
  <c r="Q59" i="2"/>
  <c r="N60" i="13" s="1"/>
  <c r="W59" i="2"/>
  <c r="I60" i="13" s="1"/>
  <c r="Q47" i="2"/>
  <c r="N48" i="13" s="1"/>
  <c r="W47" i="2"/>
  <c r="I48" i="13" s="1"/>
  <c r="Q35" i="2"/>
  <c r="N36" i="13" s="1"/>
  <c r="W35" i="2"/>
  <c r="I36" i="13" s="1"/>
  <c r="Q23" i="2"/>
  <c r="N24" i="13" s="1"/>
  <c r="W23" i="2"/>
  <c r="I24" i="13" s="1"/>
  <c r="O86" i="2"/>
  <c r="L87" i="13" s="1"/>
  <c r="N86" i="2"/>
  <c r="K87" i="13" s="1"/>
  <c r="X86" i="2"/>
  <c r="J87" i="13" s="1"/>
  <c r="P86" i="2"/>
  <c r="M87" i="13" s="1"/>
  <c r="O74" i="2"/>
  <c r="L75" i="13" s="1"/>
  <c r="N74" i="2"/>
  <c r="K75" i="13" s="1"/>
  <c r="X74" i="2"/>
  <c r="J75" i="13" s="1"/>
  <c r="P74" i="2"/>
  <c r="M75" i="13" s="1"/>
  <c r="O62" i="2"/>
  <c r="L63" i="13" s="1"/>
  <c r="X62" i="2"/>
  <c r="J63" i="13" s="1"/>
  <c r="N62" i="2"/>
  <c r="K63" i="13" s="1"/>
  <c r="P62" i="2"/>
  <c r="M63" i="13" s="1"/>
  <c r="O50" i="2"/>
  <c r="L51" i="13" s="1"/>
  <c r="N50" i="2"/>
  <c r="K51" i="13" s="1"/>
  <c r="P50" i="2"/>
  <c r="M51" i="13" s="1"/>
  <c r="X50" i="2"/>
  <c r="J51" i="13" s="1"/>
  <c r="O38" i="2"/>
  <c r="L39" i="13" s="1"/>
  <c r="N38" i="2"/>
  <c r="K39" i="13" s="1"/>
  <c r="P38" i="2"/>
  <c r="M39" i="13" s="1"/>
  <c r="X38" i="2"/>
  <c r="J39" i="13" s="1"/>
  <c r="O26" i="2"/>
  <c r="L27" i="13" s="1"/>
  <c r="X26" i="2"/>
  <c r="J27" i="13" s="1"/>
  <c r="N26" i="2"/>
  <c r="K27" i="13" s="1"/>
  <c r="P26" i="2"/>
  <c r="M27" i="13" s="1"/>
  <c r="O14" i="2"/>
  <c r="L15" i="13" s="1"/>
  <c r="N14" i="2"/>
  <c r="K15" i="13" s="1"/>
  <c r="X14" i="2"/>
  <c r="J15" i="13" s="1"/>
  <c r="P14" i="2"/>
  <c r="M15" i="13" s="1"/>
  <c r="K7" i="13"/>
  <c r="J95" i="3"/>
  <c r="U93" i="3"/>
  <c r="I93" i="3"/>
  <c r="U81" i="3"/>
  <c r="I81" i="3"/>
  <c r="U69" i="3"/>
  <c r="I69" i="3"/>
  <c r="S56" i="13"/>
  <c r="T56" i="13" s="1"/>
  <c r="V57" i="3"/>
  <c r="W57" i="3"/>
  <c r="U45" i="3"/>
  <c r="I45" i="3"/>
  <c r="U33" i="3"/>
  <c r="I33" i="3"/>
  <c r="U21" i="3"/>
  <c r="I21" i="3"/>
  <c r="U9" i="3"/>
  <c r="I9" i="3"/>
  <c r="V87" i="13"/>
  <c r="J88" i="3"/>
  <c r="V75" i="13"/>
  <c r="J76" i="3"/>
  <c r="V63" i="13"/>
  <c r="J64" i="3"/>
  <c r="V51" i="13"/>
  <c r="J52" i="3"/>
  <c r="V39" i="13"/>
  <c r="J40" i="3"/>
  <c r="V27" i="13"/>
  <c r="J28" i="3"/>
  <c r="V15" i="13"/>
  <c r="J16" i="3"/>
  <c r="R94" i="2"/>
  <c r="O95" i="13" s="1"/>
  <c r="S94" i="2"/>
  <c r="M94" i="2"/>
  <c r="J82" i="2"/>
  <c r="E83" i="13" s="1"/>
  <c r="R82" i="2"/>
  <c r="O83" i="13" s="1"/>
  <c r="M82" i="2"/>
  <c r="S82" i="2"/>
  <c r="J70" i="2"/>
  <c r="E71" i="13" s="1"/>
  <c r="R70" i="2"/>
  <c r="O71" i="13" s="1"/>
  <c r="M70" i="2"/>
  <c r="S70" i="2"/>
  <c r="J58" i="2"/>
  <c r="E59" i="13" s="1"/>
  <c r="R58" i="2"/>
  <c r="O59" i="13" s="1"/>
  <c r="M58" i="2"/>
  <c r="S58" i="2"/>
  <c r="J46" i="2"/>
  <c r="E47" i="13" s="1"/>
  <c r="R46" i="2"/>
  <c r="O47" i="13" s="1"/>
  <c r="M46" i="2"/>
  <c r="S46" i="2"/>
  <c r="J34" i="2"/>
  <c r="E35" i="13" s="1"/>
  <c r="R34" i="2"/>
  <c r="O35" i="13" s="1"/>
  <c r="M34" i="2"/>
  <c r="S34" i="2"/>
  <c r="R22" i="2"/>
  <c r="O23" i="13" s="1"/>
  <c r="M22" i="2"/>
  <c r="S22" i="2"/>
  <c r="J10" i="2"/>
  <c r="E11" i="13" s="1"/>
  <c r="R10" i="2"/>
  <c r="O11" i="13" s="1"/>
  <c r="S10" i="2"/>
  <c r="M10" i="2"/>
  <c r="Q14" i="2"/>
  <c r="N15" i="13" s="1"/>
  <c r="W14" i="2"/>
  <c r="I15" i="13" s="1"/>
  <c r="W94" i="2"/>
  <c r="I95" i="13" s="1"/>
  <c r="Q94" i="2"/>
  <c r="N95" i="13" s="1"/>
  <c r="W82" i="2"/>
  <c r="I83" i="13" s="1"/>
  <c r="Q82" i="2"/>
  <c r="N83" i="13" s="1"/>
  <c r="W70" i="2"/>
  <c r="I71" i="13" s="1"/>
  <c r="Q70" i="2"/>
  <c r="N71" i="13" s="1"/>
  <c r="W58" i="2"/>
  <c r="I59" i="13" s="1"/>
  <c r="Q58" i="2"/>
  <c r="N59" i="13" s="1"/>
  <c r="W46" i="2"/>
  <c r="I47" i="13" s="1"/>
  <c r="Q46" i="2"/>
  <c r="N47" i="13" s="1"/>
  <c r="Q34" i="2"/>
  <c r="N35" i="13" s="1"/>
  <c r="W34" i="2"/>
  <c r="I35" i="13" s="1"/>
  <c r="Q22" i="2"/>
  <c r="N23" i="13" s="1"/>
  <c r="W22" i="2"/>
  <c r="I23" i="13" s="1"/>
  <c r="O85" i="2"/>
  <c r="N85" i="2"/>
  <c r="K86" i="13" s="1"/>
  <c r="P85" i="2"/>
  <c r="M86" i="13" s="1"/>
  <c r="X85" i="2"/>
  <c r="J86" i="13" s="1"/>
  <c r="O73" i="2"/>
  <c r="L74" i="13" s="1"/>
  <c r="N73" i="2"/>
  <c r="K74" i="13" s="1"/>
  <c r="P73" i="2"/>
  <c r="M74" i="13" s="1"/>
  <c r="X73" i="2"/>
  <c r="J74" i="13" s="1"/>
  <c r="O61" i="2"/>
  <c r="N61" i="2"/>
  <c r="K62" i="13" s="1"/>
  <c r="P61" i="2"/>
  <c r="X61" i="2"/>
  <c r="J62" i="13" s="1"/>
  <c r="O49" i="2"/>
  <c r="L50" i="13" s="1"/>
  <c r="X49" i="2"/>
  <c r="J50" i="13" s="1"/>
  <c r="N49" i="2"/>
  <c r="K50" i="13" s="1"/>
  <c r="P49" i="2"/>
  <c r="M50" i="13" s="1"/>
  <c r="O37" i="2"/>
  <c r="L38" i="13" s="1"/>
  <c r="P37" i="2"/>
  <c r="M38" i="13" s="1"/>
  <c r="N37" i="2"/>
  <c r="K38" i="13" s="1"/>
  <c r="X37" i="2"/>
  <c r="J38" i="13" s="1"/>
  <c r="O25" i="2"/>
  <c r="L26" i="13" s="1"/>
  <c r="X25" i="2"/>
  <c r="J26" i="13" s="1"/>
  <c r="N25" i="2"/>
  <c r="P25" i="2"/>
  <c r="M26" i="13" s="1"/>
  <c r="O13" i="2"/>
  <c r="L14" i="13" s="1"/>
  <c r="N13" i="2"/>
  <c r="K14" i="13" s="1"/>
  <c r="P13" i="2"/>
  <c r="M14" i="13" s="1"/>
  <c r="X13" i="2"/>
  <c r="J14" i="13" s="1"/>
  <c r="I59" i="3"/>
  <c r="U92" i="3"/>
  <c r="I92" i="3"/>
  <c r="U80" i="3"/>
  <c r="I80" i="3"/>
  <c r="U68" i="3"/>
  <c r="I68" i="3"/>
  <c r="S55" i="13"/>
  <c r="W56" i="3"/>
  <c r="V56" i="3"/>
  <c r="U44" i="3"/>
  <c r="I44" i="3"/>
  <c r="U32" i="3"/>
  <c r="I32" i="3"/>
  <c r="U20" i="3"/>
  <c r="I20" i="3"/>
  <c r="U8" i="3"/>
  <c r="I8" i="3"/>
  <c r="V86" i="13"/>
  <c r="J87" i="3"/>
  <c r="V62" i="13"/>
  <c r="J63" i="3"/>
  <c r="V50" i="13"/>
  <c r="J51" i="3"/>
  <c r="V38" i="13"/>
  <c r="J39" i="3"/>
  <c r="V14" i="13"/>
  <c r="J15" i="3"/>
  <c r="E91" i="13"/>
  <c r="E55" i="13"/>
  <c r="J93" i="2"/>
  <c r="E94" i="13" s="1"/>
  <c r="M93" i="2"/>
  <c r="S93" i="2"/>
  <c r="R93" i="2"/>
  <c r="O94" i="13" s="1"/>
  <c r="J81" i="2"/>
  <c r="E82" i="13" s="1"/>
  <c r="S81" i="2"/>
  <c r="R81" i="2"/>
  <c r="O82" i="13" s="1"/>
  <c r="M81" i="2"/>
  <c r="J69" i="2"/>
  <c r="E70" i="13" s="1"/>
  <c r="S69" i="2"/>
  <c r="R69" i="2"/>
  <c r="O70" i="13" s="1"/>
  <c r="M69" i="2"/>
  <c r="J57" i="2"/>
  <c r="E58" i="13" s="1"/>
  <c r="S57" i="2"/>
  <c r="M57" i="2"/>
  <c r="R57" i="2"/>
  <c r="O58" i="13" s="1"/>
  <c r="J45" i="2"/>
  <c r="E46" i="13" s="1"/>
  <c r="M45" i="2"/>
  <c r="R45" i="2"/>
  <c r="O46" i="13" s="1"/>
  <c r="S45" i="2"/>
  <c r="J33" i="2"/>
  <c r="E34" i="13" s="1"/>
  <c r="R33" i="2"/>
  <c r="O34" i="13" s="1"/>
  <c r="M33" i="2"/>
  <c r="S33" i="2"/>
  <c r="R21" i="2"/>
  <c r="O22" i="13" s="1"/>
  <c r="S21" i="2"/>
  <c r="M21" i="2"/>
  <c r="I9" i="2"/>
  <c r="D10" i="13" s="1"/>
  <c r="S9" i="2"/>
  <c r="M9" i="2"/>
  <c r="R9" i="2"/>
  <c r="O10" i="13" s="1"/>
  <c r="W13" i="2"/>
  <c r="I14" i="13" s="1"/>
  <c r="Q13" i="2"/>
  <c r="N14" i="13" s="1"/>
  <c r="W93" i="2"/>
  <c r="I94" i="13" s="1"/>
  <c r="Q93" i="2"/>
  <c r="N94" i="13" s="1"/>
  <c r="Q81" i="2"/>
  <c r="N82" i="13" s="1"/>
  <c r="W81" i="2"/>
  <c r="I82" i="13" s="1"/>
  <c r="Q69" i="2"/>
  <c r="N70" i="13" s="1"/>
  <c r="W69" i="2"/>
  <c r="I70" i="13" s="1"/>
  <c r="W57" i="2"/>
  <c r="I58" i="13" s="1"/>
  <c r="Q57" i="2"/>
  <c r="N58" i="13" s="1"/>
  <c r="W45" i="2"/>
  <c r="I46" i="13" s="1"/>
  <c r="Q45" i="2"/>
  <c r="N46" i="13" s="1"/>
  <c r="Q33" i="2"/>
  <c r="N34" i="13" s="1"/>
  <c r="W33" i="2"/>
  <c r="I34" i="13" s="1"/>
  <c r="W21" i="2"/>
  <c r="I22" i="13" s="1"/>
  <c r="Q21" i="2"/>
  <c r="N22" i="13" s="1"/>
  <c r="J27" i="3"/>
  <c r="M67" i="13"/>
  <c r="K36" i="13"/>
  <c r="M78" i="13"/>
  <c r="M41" i="13"/>
  <c r="K19" i="13"/>
  <c r="M79" i="13"/>
  <c r="M72" i="13"/>
  <c r="M96" i="13"/>
  <c r="K77" i="13"/>
  <c r="M18" i="13"/>
  <c r="O2" i="2"/>
  <c r="L3" i="13" s="1"/>
  <c r="X2" i="2"/>
  <c r="J3" i="13" s="1"/>
  <c r="N2" i="2"/>
  <c r="K3" i="13" s="1"/>
  <c r="P2" i="2"/>
  <c r="M3" i="13" s="1"/>
  <c r="O84" i="2"/>
  <c r="L85" i="13" s="1"/>
  <c r="N84" i="2"/>
  <c r="K85" i="13" s="1"/>
  <c r="X84" i="2"/>
  <c r="J85" i="13" s="1"/>
  <c r="P84" i="2"/>
  <c r="M85" i="13" s="1"/>
  <c r="O72" i="2"/>
  <c r="X72" i="2"/>
  <c r="J73" i="13" s="1"/>
  <c r="P72" i="2"/>
  <c r="M73" i="13" s="1"/>
  <c r="N72" i="2"/>
  <c r="K73" i="13" s="1"/>
  <c r="O60" i="2"/>
  <c r="X60" i="2"/>
  <c r="J61" i="13" s="1"/>
  <c r="N60" i="2"/>
  <c r="K61" i="13" s="1"/>
  <c r="P60" i="2"/>
  <c r="M61" i="13" s="1"/>
  <c r="O48" i="2"/>
  <c r="L49" i="13" s="1"/>
  <c r="P48" i="2"/>
  <c r="M49" i="13" s="1"/>
  <c r="X48" i="2"/>
  <c r="J49" i="13" s="1"/>
  <c r="N48" i="2"/>
  <c r="K49" i="13" s="1"/>
  <c r="O36" i="2"/>
  <c r="L37" i="13" s="1"/>
  <c r="X36" i="2"/>
  <c r="J37" i="13" s="1"/>
  <c r="N36" i="2"/>
  <c r="K37" i="13" s="1"/>
  <c r="P36" i="2"/>
  <c r="M37" i="13" s="1"/>
  <c r="O24" i="2"/>
  <c r="L25" i="13" s="1"/>
  <c r="P24" i="2"/>
  <c r="M25" i="13" s="1"/>
  <c r="X24" i="2"/>
  <c r="J25" i="13" s="1"/>
  <c r="N24" i="2"/>
  <c r="K25" i="13" s="1"/>
  <c r="O12" i="2"/>
  <c r="L13" i="13" s="1"/>
  <c r="X12" i="2"/>
  <c r="J13" i="13" s="1"/>
  <c r="N12" i="2"/>
  <c r="K13" i="13" s="1"/>
  <c r="P12" i="2"/>
  <c r="M13" i="13" s="1"/>
  <c r="M53" i="13"/>
  <c r="K31" i="13"/>
  <c r="K60" i="13"/>
  <c r="M91" i="13"/>
  <c r="M42" i="13"/>
  <c r="S91" i="2"/>
  <c r="M91" i="2"/>
  <c r="R91" i="2"/>
  <c r="O92" i="13" s="1"/>
  <c r="J79" i="2"/>
  <c r="E80" i="13" s="1"/>
  <c r="S79" i="2"/>
  <c r="R79" i="2"/>
  <c r="O80" i="13" s="1"/>
  <c r="M79" i="2"/>
  <c r="J67" i="2"/>
  <c r="E68" i="13" s="1"/>
  <c r="S67" i="2"/>
  <c r="R67" i="2"/>
  <c r="O68" i="13" s="1"/>
  <c r="M67" i="2"/>
  <c r="J55" i="2"/>
  <c r="E56" i="13" s="1"/>
  <c r="S55" i="2"/>
  <c r="R55" i="2"/>
  <c r="O56" i="13" s="1"/>
  <c r="M55" i="2"/>
  <c r="J43" i="2"/>
  <c r="E44" i="13" s="1"/>
  <c r="S43" i="2"/>
  <c r="R43" i="2"/>
  <c r="O44" i="13" s="1"/>
  <c r="M43" i="2"/>
  <c r="J31" i="2"/>
  <c r="E32" i="13" s="1"/>
  <c r="S31" i="2"/>
  <c r="R31" i="2"/>
  <c r="O32" i="13" s="1"/>
  <c r="M31" i="2"/>
  <c r="S19" i="2"/>
  <c r="M19" i="2"/>
  <c r="R19" i="2"/>
  <c r="O20" i="13" s="1"/>
  <c r="I7" i="2"/>
  <c r="D8" i="13" s="1"/>
  <c r="S7" i="2"/>
  <c r="R7" i="2"/>
  <c r="O8" i="13" s="1"/>
  <c r="M7" i="2"/>
  <c r="W11" i="2"/>
  <c r="I12" i="13" s="1"/>
  <c r="Q11" i="2"/>
  <c r="N12" i="13" s="1"/>
  <c r="W91" i="2"/>
  <c r="I92" i="13" s="1"/>
  <c r="Q91" i="2"/>
  <c r="N92" i="13" s="1"/>
  <c r="W79" i="2"/>
  <c r="I80" i="13" s="1"/>
  <c r="Q79" i="2"/>
  <c r="N80" i="13" s="1"/>
  <c r="W67" i="2"/>
  <c r="I68" i="13" s="1"/>
  <c r="Q67" i="2"/>
  <c r="N68" i="13" s="1"/>
  <c r="Q55" i="2"/>
  <c r="N56" i="13" s="1"/>
  <c r="W55" i="2"/>
  <c r="I56" i="13" s="1"/>
  <c r="Q43" i="2"/>
  <c r="N44" i="13" s="1"/>
  <c r="W43" i="2"/>
  <c r="I44" i="13" s="1"/>
  <c r="W31" i="2"/>
  <c r="I32" i="13" s="1"/>
  <c r="Q31" i="2"/>
  <c r="N32" i="13" s="1"/>
  <c r="W19" i="2"/>
  <c r="I20" i="13" s="1"/>
  <c r="Q19" i="2"/>
  <c r="N20" i="13" s="1"/>
  <c r="O94" i="2"/>
  <c r="L95" i="13" s="1"/>
  <c r="P94" i="2"/>
  <c r="M95" i="13" s="1"/>
  <c r="N94" i="2"/>
  <c r="K95" i="13" s="1"/>
  <c r="X94" i="2"/>
  <c r="J95" i="13" s="1"/>
  <c r="O82" i="2"/>
  <c r="L83" i="13" s="1"/>
  <c r="X82" i="2"/>
  <c r="J83" i="13" s="1"/>
  <c r="P82" i="2"/>
  <c r="M83" i="13" s="1"/>
  <c r="N82" i="2"/>
  <c r="K83" i="13" s="1"/>
  <c r="O70" i="2"/>
  <c r="L71" i="13" s="1"/>
  <c r="P70" i="2"/>
  <c r="M71" i="13" s="1"/>
  <c r="X70" i="2"/>
  <c r="J71" i="13" s="1"/>
  <c r="N70" i="2"/>
  <c r="K71" i="13" s="1"/>
  <c r="O58" i="2"/>
  <c r="L59" i="13" s="1"/>
  <c r="P58" i="2"/>
  <c r="M59" i="13" s="1"/>
  <c r="N58" i="2"/>
  <c r="K59" i="13" s="1"/>
  <c r="X58" i="2"/>
  <c r="J59" i="13" s="1"/>
  <c r="O46" i="2"/>
  <c r="L47" i="13" s="1"/>
  <c r="N46" i="2"/>
  <c r="K47" i="13" s="1"/>
  <c r="X46" i="2"/>
  <c r="J47" i="13" s="1"/>
  <c r="P46" i="2"/>
  <c r="M47" i="13" s="1"/>
  <c r="O34" i="2"/>
  <c r="L35" i="13" s="1"/>
  <c r="X34" i="2"/>
  <c r="J35" i="13" s="1"/>
  <c r="N34" i="2"/>
  <c r="K35" i="13" s="1"/>
  <c r="P34" i="2"/>
  <c r="M35" i="13" s="1"/>
  <c r="O22" i="2"/>
  <c r="L23" i="13" s="1"/>
  <c r="X22" i="2"/>
  <c r="J23" i="13" s="1"/>
  <c r="P22" i="2"/>
  <c r="M23" i="13" s="1"/>
  <c r="N22" i="2"/>
  <c r="K23" i="13" s="1"/>
  <c r="O10" i="2"/>
  <c r="L11" i="13" s="1"/>
  <c r="X10" i="2"/>
  <c r="J11" i="13" s="1"/>
  <c r="N10" i="2"/>
  <c r="K11" i="13" s="1"/>
  <c r="P10" i="2"/>
  <c r="M11" i="13" s="1"/>
  <c r="K5" i="13"/>
  <c r="W90" i="2"/>
  <c r="I91" i="13" s="1"/>
  <c r="Q90" i="2"/>
  <c r="N91" i="13" s="1"/>
  <c r="Q78" i="2"/>
  <c r="N79" i="13" s="1"/>
  <c r="W78" i="2"/>
  <c r="I79" i="13" s="1"/>
  <c r="W66" i="2"/>
  <c r="I67" i="13" s="1"/>
  <c r="Q66" i="2"/>
  <c r="N67" i="13" s="1"/>
  <c r="Q54" i="2"/>
  <c r="N55" i="13" s="1"/>
  <c r="W54" i="2"/>
  <c r="I55" i="13" s="1"/>
  <c r="W42" i="2"/>
  <c r="I43" i="13" s="1"/>
  <c r="Q42" i="2"/>
  <c r="N43" i="13" s="1"/>
  <c r="W30" i="2"/>
  <c r="I31" i="13" s="1"/>
  <c r="Q30" i="2"/>
  <c r="N31" i="13" s="1"/>
  <c r="O93" i="2"/>
  <c r="L94" i="13" s="1"/>
  <c r="N93" i="2"/>
  <c r="K94" i="13" s="1"/>
  <c r="X93" i="2"/>
  <c r="J94" i="13" s="1"/>
  <c r="P93" i="2"/>
  <c r="M94" i="13" s="1"/>
  <c r="O81" i="2"/>
  <c r="L82" i="13" s="1"/>
  <c r="X81" i="2"/>
  <c r="J82" i="13" s="1"/>
  <c r="P81" i="2"/>
  <c r="M82" i="13" s="1"/>
  <c r="N81" i="2"/>
  <c r="K82" i="13" s="1"/>
  <c r="O69" i="2"/>
  <c r="L70" i="13" s="1"/>
  <c r="N69" i="2"/>
  <c r="X69" i="2"/>
  <c r="J70" i="13" s="1"/>
  <c r="P69" i="2"/>
  <c r="M70" i="13" s="1"/>
  <c r="O57" i="2"/>
  <c r="L58" i="13" s="1"/>
  <c r="P57" i="2"/>
  <c r="M58" i="13" s="1"/>
  <c r="X57" i="2"/>
  <c r="J58" i="13" s="1"/>
  <c r="N57" i="2"/>
  <c r="K58" i="13" s="1"/>
  <c r="O45" i="2"/>
  <c r="L46" i="13" s="1"/>
  <c r="P45" i="2"/>
  <c r="M46" i="13" s="1"/>
  <c r="X45" i="2"/>
  <c r="J46" i="13" s="1"/>
  <c r="N45" i="2"/>
  <c r="K46" i="13" s="1"/>
  <c r="O33" i="2"/>
  <c r="L34" i="13" s="1"/>
  <c r="X33" i="2"/>
  <c r="J34" i="13" s="1"/>
  <c r="P33" i="2"/>
  <c r="N33" i="2"/>
  <c r="K34" i="13" s="1"/>
  <c r="O21" i="2"/>
  <c r="L22" i="13" s="1"/>
  <c r="P21" i="2"/>
  <c r="M22" i="13" s="1"/>
  <c r="N21" i="2"/>
  <c r="K22" i="13" s="1"/>
  <c r="X21" i="2"/>
  <c r="J22" i="13" s="1"/>
  <c r="O9" i="2"/>
  <c r="L10" i="13" s="1"/>
  <c r="X9" i="2"/>
  <c r="J10" i="13" s="1"/>
  <c r="N9" i="2"/>
  <c r="K10" i="13" s="1"/>
  <c r="P9" i="2"/>
  <c r="M10" i="13" s="1"/>
  <c r="K70" i="13"/>
  <c r="K89" i="2"/>
  <c r="F90" i="13" s="1"/>
  <c r="M89" i="2"/>
  <c r="R89" i="2"/>
  <c r="O90" i="13" s="1"/>
  <c r="S89" i="2"/>
  <c r="K77" i="2"/>
  <c r="F78" i="13" s="1"/>
  <c r="M77" i="2"/>
  <c r="S77" i="2"/>
  <c r="R77" i="2"/>
  <c r="O78" i="13" s="1"/>
  <c r="K65" i="2"/>
  <c r="F66" i="13" s="1"/>
  <c r="M65" i="2"/>
  <c r="S65" i="2"/>
  <c r="R65" i="2"/>
  <c r="O66" i="13" s="1"/>
  <c r="K53" i="2"/>
  <c r="F54" i="13" s="1"/>
  <c r="M53" i="2"/>
  <c r="R53" i="2"/>
  <c r="O54" i="13" s="1"/>
  <c r="S53" i="2"/>
  <c r="K41" i="2"/>
  <c r="F42" i="13" s="1"/>
  <c r="M41" i="2"/>
  <c r="S41" i="2"/>
  <c r="R41" i="2"/>
  <c r="O42" i="13" s="1"/>
  <c r="K29" i="2"/>
  <c r="F30" i="13" s="1"/>
  <c r="M29" i="2"/>
  <c r="R29" i="2"/>
  <c r="O30" i="13" s="1"/>
  <c r="S29" i="2"/>
  <c r="K17" i="2"/>
  <c r="F18" i="13" s="1"/>
  <c r="M17" i="2"/>
  <c r="S17" i="2"/>
  <c r="R17" i="2"/>
  <c r="O18" i="13" s="1"/>
  <c r="K5" i="2"/>
  <c r="F6" i="13" s="1"/>
  <c r="M5" i="2"/>
  <c r="S5" i="2"/>
  <c r="R5" i="2"/>
  <c r="O6" i="13" s="1"/>
  <c r="Q9" i="2"/>
  <c r="N10" i="13" s="1"/>
  <c r="W9" i="2"/>
  <c r="I10" i="13" s="1"/>
  <c r="W89" i="2"/>
  <c r="I90" i="13" s="1"/>
  <c r="Q89" i="2"/>
  <c r="N90" i="13" s="1"/>
  <c r="Q77" i="2"/>
  <c r="N78" i="13" s="1"/>
  <c r="W77" i="2"/>
  <c r="I78" i="13" s="1"/>
  <c r="W65" i="2"/>
  <c r="I66" i="13" s="1"/>
  <c r="Q65" i="2"/>
  <c r="N66" i="13" s="1"/>
  <c r="W53" i="2"/>
  <c r="I54" i="13" s="1"/>
  <c r="Q53" i="2"/>
  <c r="N54" i="13" s="1"/>
  <c r="Q41" i="2"/>
  <c r="N42" i="13" s="1"/>
  <c r="W41" i="2"/>
  <c r="I42" i="13" s="1"/>
  <c r="W29" i="2"/>
  <c r="I30" i="13" s="1"/>
  <c r="Q29" i="2"/>
  <c r="N30" i="13" s="1"/>
  <c r="O92" i="2"/>
  <c r="L93" i="13" s="1"/>
  <c r="N92" i="2"/>
  <c r="K93" i="13" s="1"/>
  <c r="X92" i="2"/>
  <c r="J93" i="13" s="1"/>
  <c r="P92" i="2"/>
  <c r="M93" i="13" s="1"/>
  <c r="O80" i="2"/>
  <c r="L81" i="13" s="1"/>
  <c r="N80" i="2"/>
  <c r="K81" i="13" s="1"/>
  <c r="X80" i="2"/>
  <c r="J81" i="13" s="1"/>
  <c r="P80" i="2"/>
  <c r="M81" i="13" s="1"/>
  <c r="O68" i="2"/>
  <c r="L69" i="13" s="1"/>
  <c r="X68" i="2"/>
  <c r="J69" i="13" s="1"/>
  <c r="P68" i="2"/>
  <c r="M69" i="13" s="1"/>
  <c r="N68" i="2"/>
  <c r="K69" i="13" s="1"/>
  <c r="O56" i="2"/>
  <c r="L57" i="13" s="1"/>
  <c r="P56" i="2"/>
  <c r="M57" i="13" s="1"/>
  <c r="X56" i="2"/>
  <c r="J57" i="13" s="1"/>
  <c r="N56" i="2"/>
  <c r="K57" i="13" s="1"/>
  <c r="O44" i="2"/>
  <c r="L45" i="13" s="1"/>
  <c r="P44" i="2"/>
  <c r="M45" i="13" s="1"/>
  <c r="N44" i="2"/>
  <c r="K45" i="13" s="1"/>
  <c r="X44" i="2"/>
  <c r="J45" i="13" s="1"/>
  <c r="O32" i="2"/>
  <c r="L33" i="13" s="1"/>
  <c r="P32" i="2"/>
  <c r="M33" i="13" s="1"/>
  <c r="X32" i="2"/>
  <c r="J33" i="13" s="1"/>
  <c r="N32" i="2"/>
  <c r="K33" i="13" s="1"/>
  <c r="O20" i="2"/>
  <c r="L21" i="13" s="1"/>
  <c r="P20" i="2"/>
  <c r="M21" i="13" s="1"/>
  <c r="X20" i="2"/>
  <c r="J21" i="13" s="1"/>
  <c r="N20" i="2"/>
  <c r="K21" i="13" s="1"/>
  <c r="O8" i="2"/>
  <c r="L9" i="13" s="1"/>
  <c r="P8" i="2"/>
  <c r="M9" i="13" s="1"/>
  <c r="X8" i="2"/>
  <c r="J9" i="13" s="1"/>
  <c r="N8" i="2"/>
  <c r="K9" i="13" s="1"/>
  <c r="M62" i="13"/>
  <c r="L62" i="13"/>
  <c r="L18" i="13"/>
  <c r="K88" i="2"/>
  <c r="F89" i="13" s="1"/>
  <c r="S88" i="2"/>
  <c r="M88" i="2"/>
  <c r="R88" i="2"/>
  <c r="O89" i="13" s="1"/>
  <c r="K76" i="2"/>
  <c r="F77" i="13" s="1"/>
  <c r="M76" i="2"/>
  <c r="S76" i="2"/>
  <c r="R76" i="2"/>
  <c r="O77" i="13" s="1"/>
  <c r="K64" i="2"/>
  <c r="F65" i="13" s="1"/>
  <c r="M64" i="2"/>
  <c r="S64" i="2"/>
  <c r="R64" i="2"/>
  <c r="O65" i="13" s="1"/>
  <c r="K52" i="2"/>
  <c r="F53" i="13" s="1"/>
  <c r="M52" i="2"/>
  <c r="S52" i="2"/>
  <c r="R52" i="2"/>
  <c r="O53" i="13" s="1"/>
  <c r="K40" i="2"/>
  <c r="F41" i="13" s="1"/>
  <c r="R40" i="2"/>
  <c r="O41" i="13" s="1"/>
  <c r="M40" i="2"/>
  <c r="S40" i="2"/>
  <c r="K28" i="2"/>
  <c r="F29" i="13" s="1"/>
  <c r="S28" i="2"/>
  <c r="M28" i="2"/>
  <c r="R28" i="2"/>
  <c r="O29" i="13" s="1"/>
  <c r="K16" i="2"/>
  <c r="F17" i="13" s="1"/>
  <c r="M16" i="2"/>
  <c r="R16" i="2"/>
  <c r="O17" i="13" s="1"/>
  <c r="S16" i="2"/>
  <c r="K4" i="2"/>
  <c r="F5" i="13" s="1"/>
  <c r="M4" i="2"/>
  <c r="S4" i="2"/>
  <c r="R4" i="2"/>
  <c r="O5" i="13" s="1"/>
  <c r="Q8" i="2"/>
  <c r="N9" i="13" s="1"/>
  <c r="W8" i="2"/>
  <c r="I9" i="13" s="1"/>
  <c r="W88" i="2"/>
  <c r="I89" i="13" s="1"/>
  <c r="Q88" i="2"/>
  <c r="N89" i="13" s="1"/>
  <c r="W76" i="2"/>
  <c r="I77" i="13" s="1"/>
  <c r="Q76" i="2"/>
  <c r="N77" i="13" s="1"/>
  <c r="W64" i="2"/>
  <c r="I65" i="13" s="1"/>
  <c r="Q64" i="2"/>
  <c r="N65" i="13" s="1"/>
  <c r="Q52" i="2"/>
  <c r="N53" i="13" s="1"/>
  <c r="W52" i="2"/>
  <c r="I53" i="13" s="1"/>
  <c r="Q40" i="2"/>
  <c r="N41" i="13" s="1"/>
  <c r="W40" i="2"/>
  <c r="I41" i="13" s="1"/>
  <c r="Q28" i="2"/>
  <c r="N29" i="13" s="1"/>
  <c r="W28" i="2"/>
  <c r="I29" i="13" s="1"/>
  <c r="O91" i="2"/>
  <c r="L92" i="13" s="1"/>
  <c r="N91" i="2"/>
  <c r="K92" i="13" s="1"/>
  <c r="X91" i="2"/>
  <c r="J92" i="13" s="1"/>
  <c r="P91" i="2"/>
  <c r="M92" i="13" s="1"/>
  <c r="O79" i="2"/>
  <c r="L80" i="13" s="1"/>
  <c r="N79" i="2"/>
  <c r="K80" i="13" s="1"/>
  <c r="X79" i="2"/>
  <c r="J80" i="13" s="1"/>
  <c r="P79" i="2"/>
  <c r="M80" i="13" s="1"/>
  <c r="O67" i="2"/>
  <c r="L68" i="13" s="1"/>
  <c r="N67" i="2"/>
  <c r="X67" i="2"/>
  <c r="J68" i="13" s="1"/>
  <c r="P67" i="2"/>
  <c r="M68" i="13" s="1"/>
  <c r="O55" i="2"/>
  <c r="L56" i="13" s="1"/>
  <c r="N55" i="2"/>
  <c r="K56" i="13" s="1"/>
  <c r="P55" i="2"/>
  <c r="M56" i="13" s="1"/>
  <c r="X55" i="2"/>
  <c r="J56" i="13" s="1"/>
  <c r="O43" i="2"/>
  <c r="L44" i="13" s="1"/>
  <c r="N43" i="2"/>
  <c r="K44" i="13" s="1"/>
  <c r="X43" i="2"/>
  <c r="J44" i="13" s="1"/>
  <c r="P43" i="2"/>
  <c r="M44" i="13" s="1"/>
  <c r="O31" i="2"/>
  <c r="L32" i="13" s="1"/>
  <c r="X31" i="2"/>
  <c r="J32" i="13" s="1"/>
  <c r="N31" i="2"/>
  <c r="K32" i="13" s="1"/>
  <c r="P31" i="2"/>
  <c r="M32" i="13" s="1"/>
  <c r="O19" i="2"/>
  <c r="L20" i="13" s="1"/>
  <c r="P19" i="2"/>
  <c r="M20" i="13" s="1"/>
  <c r="N19" i="2"/>
  <c r="K20" i="13" s="1"/>
  <c r="X19" i="2"/>
  <c r="J20" i="13" s="1"/>
  <c r="O7" i="2"/>
  <c r="L8" i="13" s="1"/>
  <c r="N7" i="2"/>
  <c r="K8" i="13" s="1"/>
  <c r="X7" i="2"/>
  <c r="J8" i="13" s="1"/>
  <c r="P7" i="2"/>
  <c r="M8" i="13" s="1"/>
  <c r="M7" i="13"/>
  <c r="K68" i="13"/>
  <c r="L19" i="13"/>
  <c r="L61" i="13"/>
  <c r="L17" i="13"/>
  <c r="K26" i="13"/>
  <c r="L73" i="13"/>
  <c r="L86" i="13"/>
  <c r="L29" i="13"/>
  <c r="L42" i="13"/>
  <c r="M36" i="13"/>
  <c r="L41" i="13"/>
  <c r="L54" i="13"/>
  <c r="M43" i="13"/>
  <c r="L55" i="13"/>
  <c r="M30" i="13"/>
  <c r="M34" i="13"/>
  <c r="M60" i="13"/>
  <c r="Q36" i="2"/>
  <c r="N37" i="13" s="1"/>
  <c r="W36" i="2"/>
  <c r="I37" i="13" s="1"/>
  <c r="W24" i="2"/>
  <c r="I25" i="13" s="1"/>
  <c r="Q24" i="2"/>
  <c r="N25" i="13" s="1"/>
  <c r="O87" i="2"/>
  <c r="L88" i="13" s="1"/>
  <c r="X87" i="2"/>
  <c r="J88" i="13" s="1"/>
  <c r="P87" i="2"/>
  <c r="M88" i="13" s="1"/>
  <c r="N87" i="2"/>
  <c r="K88" i="13" s="1"/>
  <c r="X75" i="2"/>
  <c r="J76" i="13" s="1"/>
  <c r="O75" i="2"/>
  <c r="L76" i="13" s="1"/>
  <c r="N75" i="2"/>
  <c r="K76" i="13" s="1"/>
  <c r="P75" i="2"/>
  <c r="M76" i="13" s="1"/>
  <c r="O63" i="2"/>
  <c r="L64" i="13" s="1"/>
  <c r="P63" i="2"/>
  <c r="M64" i="13" s="1"/>
  <c r="X63" i="2"/>
  <c r="J64" i="13" s="1"/>
  <c r="N63" i="2"/>
  <c r="K64" i="13" s="1"/>
  <c r="O51" i="2"/>
  <c r="L52" i="13" s="1"/>
  <c r="X51" i="2"/>
  <c r="J52" i="13" s="1"/>
  <c r="P51" i="2"/>
  <c r="M52" i="13" s="1"/>
  <c r="N51" i="2"/>
  <c r="K52" i="13" s="1"/>
  <c r="O39" i="2"/>
  <c r="L40" i="13" s="1"/>
  <c r="X39" i="2"/>
  <c r="J40" i="13" s="1"/>
  <c r="P39" i="2"/>
  <c r="M40" i="13" s="1"/>
  <c r="N39" i="2"/>
  <c r="K40" i="13" s="1"/>
  <c r="O27" i="2"/>
  <c r="L28" i="13" s="1"/>
  <c r="N27" i="2"/>
  <c r="K28" i="13" s="1"/>
  <c r="X27" i="2"/>
  <c r="J28" i="13" s="1"/>
  <c r="P27" i="2"/>
  <c r="M28" i="13" s="1"/>
  <c r="O15" i="2"/>
  <c r="L16" i="13" s="1"/>
  <c r="X15" i="2"/>
  <c r="J16" i="13" s="1"/>
  <c r="P15" i="2"/>
  <c r="M16" i="13" s="1"/>
  <c r="N15" i="2"/>
  <c r="K16" i="13" s="1"/>
  <c r="K4" i="3"/>
  <c r="K2" i="2"/>
  <c r="F3" i="13" s="1"/>
  <c r="J95" i="2"/>
  <c r="E96" i="13" s="1"/>
  <c r="J23" i="2"/>
  <c r="E24" i="13" s="1"/>
  <c r="J94" i="2"/>
  <c r="E95" i="13" s="1"/>
  <c r="J22" i="2"/>
  <c r="E23" i="13" s="1"/>
  <c r="J21" i="2"/>
  <c r="E22" i="13" s="1"/>
  <c r="J92" i="2"/>
  <c r="E93" i="13" s="1"/>
  <c r="J20" i="2"/>
  <c r="E21" i="13" s="1"/>
  <c r="J91" i="2"/>
  <c r="E92" i="13" s="1"/>
  <c r="J19" i="2"/>
  <c r="E20" i="13" s="1"/>
  <c r="I89" i="2"/>
  <c r="D90" i="13" s="1"/>
  <c r="I77" i="2"/>
  <c r="D78" i="13" s="1"/>
  <c r="I65" i="2"/>
  <c r="D66" i="13" s="1"/>
  <c r="I53" i="2"/>
  <c r="D54" i="13" s="1"/>
  <c r="I41" i="2"/>
  <c r="D42" i="13" s="1"/>
  <c r="I29" i="2"/>
  <c r="D30" i="13" s="1"/>
  <c r="I17" i="2"/>
  <c r="D18" i="13" s="1"/>
  <c r="I5" i="2"/>
  <c r="D6" i="13" s="1"/>
  <c r="J9" i="2"/>
  <c r="E10" i="13" s="1"/>
  <c r="J89" i="2"/>
  <c r="E90" i="13" s="1"/>
  <c r="J77" i="2"/>
  <c r="E78" i="13" s="1"/>
  <c r="J65" i="2"/>
  <c r="E66" i="13" s="1"/>
  <c r="J53" i="2"/>
  <c r="E54" i="13" s="1"/>
  <c r="J41" i="2"/>
  <c r="E42" i="13" s="1"/>
  <c r="J29" i="2"/>
  <c r="E30" i="13" s="1"/>
  <c r="K95" i="2"/>
  <c r="F96" i="13" s="1"/>
  <c r="K83" i="2"/>
  <c r="F84" i="13" s="1"/>
  <c r="K71" i="2"/>
  <c r="F72" i="13" s="1"/>
  <c r="K59" i="2"/>
  <c r="F60" i="13" s="1"/>
  <c r="K47" i="2"/>
  <c r="F48" i="13" s="1"/>
  <c r="K35" i="2"/>
  <c r="F36" i="13" s="1"/>
  <c r="K23" i="2"/>
  <c r="F24" i="13" s="1"/>
  <c r="K11" i="2"/>
  <c r="F12" i="13" s="1"/>
  <c r="I88" i="2"/>
  <c r="D89" i="13" s="1"/>
  <c r="I76" i="2"/>
  <c r="D77" i="13" s="1"/>
  <c r="I64" i="2"/>
  <c r="D65" i="13" s="1"/>
  <c r="I52" i="2"/>
  <c r="D53" i="13" s="1"/>
  <c r="I40" i="2"/>
  <c r="D41" i="13" s="1"/>
  <c r="I28" i="2"/>
  <c r="D29" i="13" s="1"/>
  <c r="I16" i="2"/>
  <c r="D17" i="13" s="1"/>
  <c r="I4" i="2"/>
  <c r="D5" i="13" s="1"/>
  <c r="J8" i="2"/>
  <c r="E9" i="13" s="1"/>
  <c r="J88" i="2"/>
  <c r="E89" i="13" s="1"/>
  <c r="J76" i="2"/>
  <c r="E77" i="13" s="1"/>
  <c r="J64" i="2"/>
  <c r="E65" i="13" s="1"/>
  <c r="J52" i="2"/>
  <c r="E53" i="13" s="1"/>
  <c r="J40" i="2"/>
  <c r="E41" i="13" s="1"/>
  <c r="J28" i="2"/>
  <c r="E29" i="13" s="1"/>
  <c r="K94" i="2"/>
  <c r="F95" i="13" s="1"/>
  <c r="K82" i="2"/>
  <c r="F83" i="13" s="1"/>
  <c r="K70" i="2"/>
  <c r="F71" i="13" s="1"/>
  <c r="K58" i="2"/>
  <c r="F59" i="13" s="1"/>
  <c r="K46" i="2"/>
  <c r="F47" i="13" s="1"/>
  <c r="K34" i="2"/>
  <c r="F35" i="13" s="1"/>
  <c r="K22" i="2"/>
  <c r="F23" i="13" s="1"/>
  <c r="K10" i="2"/>
  <c r="F11" i="13" s="1"/>
  <c r="I87" i="2"/>
  <c r="D88" i="13" s="1"/>
  <c r="I75" i="2"/>
  <c r="D76" i="13" s="1"/>
  <c r="I63" i="2"/>
  <c r="D64" i="13" s="1"/>
  <c r="I51" i="2"/>
  <c r="D52" i="13" s="1"/>
  <c r="I39" i="2"/>
  <c r="D40" i="13" s="1"/>
  <c r="I27" i="2"/>
  <c r="D28" i="13" s="1"/>
  <c r="I15" i="2"/>
  <c r="D16" i="13" s="1"/>
  <c r="J2" i="2"/>
  <c r="E3" i="13" s="1"/>
  <c r="J7" i="2"/>
  <c r="E8" i="13" s="1"/>
  <c r="J87" i="2"/>
  <c r="E88" i="13" s="1"/>
  <c r="J75" i="2"/>
  <c r="E76" i="13" s="1"/>
  <c r="J63" i="2"/>
  <c r="E64" i="13" s="1"/>
  <c r="J51" i="2"/>
  <c r="E52" i="13" s="1"/>
  <c r="J39" i="2"/>
  <c r="E40" i="13" s="1"/>
  <c r="J27" i="2"/>
  <c r="E28" i="13" s="1"/>
  <c r="K93" i="2"/>
  <c r="F94" i="13" s="1"/>
  <c r="K81" i="2"/>
  <c r="F82" i="13" s="1"/>
  <c r="K69" i="2"/>
  <c r="F70" i="13" s="1"/>
  <c r="K57" i="2"/>
  <c r="F58" i="13" s="1"/>
  <c r="K45" i="2"/>
  <c r="F46" i="13" s="1"/>
  <c r="K33" i="2"/>
  <c r="F34" i="13" s="1"/>
  <c r="K21" i="2"/>
  <c r="F22" i="13" s="1"/>
  <c r="K9" i="2"/>
  <c r="F10" i="13" s="1"/>
  <c r="I86" i="2"/>
  <c r="D87" i="13" s="1"/>
  <c r="I74" i="2"/>
  <c r="D75" i="13" s="1"/>
  <c r="I62" i="2"/>
  <c r="D63" i="13" s="1"/>
  <c r="I50" i="2"/>
  <c r="D51" i="13" s="1"/>
  <c r="I38" i="2"/>
  <c r="D39" i="13" s="1"/>
  <c r="I26" i="2"/>
  <c r="D27" i="13" s="1"/>
  <c r="I14" i="2"/>
  <c r="D15" i="13" s="1"/>
  <c r="J18" i="2"/>
  <c r="E19" i="13" s="1"/>
  <c r="J6" i="2"/>
  <c r="E7" i="13" s="1"/>
  <c r="J86" i="2"/>
  <c r="E87" i="13" s="1"/>
  <c r="J74" i="2"/>
  <c r="E75" i="13" s="1"/>
  <c r="J62" i="2"/>
  <c r="E63" i="13" s="1"/>
  <c r="J50" i="2"/>
  <c r="E51" i="13" s="1"/>
  <c r="J38" i="2"/>
  <c r="E39" i="13" s="1"/>
  <c r="J26" i="2"/>
  <c r="E27" i="13" s="1"/>
  <c r="K92" i="2"/>
  <c r="F93" i="13" s="1"/>
  <c r="K80" i="2"/>
  <c r="F81" i="13" s="1"/>
  <c r="K68" i="2"/>
  <c r="F69" i="13" s="1"/>
  <c r="K56" i="2"/>
  <c r="F57" i="13" s="1"/>
  <c r="K44" i="2"/>
  <c r="F45" i="13" s="1"/>
  <c r="K32" i="2"/>
  <c r="F33" i="13" s="1"/>
  <c r="K20" i="2"/>
  <c r="F21" i="13" s="1"/>
  <c r="K8" i="2"/>
  <c r="F9" i="13" s="1"/>
  <c r="I85" i="2"/>
  <c r="D86" i="13" s="1"/>
  <c r="I73" i="2"/>
  <c r="D74" i="13" s="1"/>
  <c r="I61" i="2"/>
  <c r="D62" i="13" s="1"/>
  <c r="I49" i="2"/>
  <c r="D50" i="13" s="1"/>
  <c r="I37" i="2"/>
  <c r="D38" i="13" s="1"/>
  <c r="I25" i="2"/>
  <c r="D26" i="13" s="1"/>
  <c r="I13" i="2"/>
  <c r="D14" i="13" s="1"/>
  <c r="J17" i="2"/>
  <c r="E18" i="13" s="1"/>
  <c r="J5" i="2"/>
  <c r="E6" i="13" s="1"/>
  <c r="J85" i="2"/>
  <c r="E86" i="13" s="1"/>
  <c r="J73" i="2"/>
  <c r="E74" i="13" s="1"/>
  <c r="J61" i="2"/>
  <c r="E62" i="13" s="1"/>
  <c r="J49" i="2"/>
  <c r="E50" i="13" s="1"/>
  <c r="J37" i="2"/>
  <c r="E38" i="13" s="1"/>
  <c r="J25" i="2"/>
  <c r="E26" i="13" s="1"/>
  <c r="K91" i="2"/>
  <c r="F92" i="13" s="1"/>
  <c r="K79" i="2"/>
  <c r="F80" i="13" s="1"/>
  <c r="K67" i="2"/>
  <c r="F68" i="13" s="1"/>
  <c r="K55" i="2"/>
  <c r="F56" i="13" s="1"/>
  <c r="K43" i="2"/>
  <c r="F44" i="13" s="1"/>
  <c r="K31" i="2"/>
  <c r="F32" i="13" s="1"/>
  <c r="K19" i="2"/>
  <c r="F20" i="13" s="1"/>
  <c r="K7" i="2"/>
  <c r="F8" i="13" s="1"/>
  <c r="I2" i="2"/>
  <c r="D3" i="13" s="1"/>
  <c r="I84" i="2"/>
  <c r="D85" i="13" s="1"/>
  <c r="I72" i="2"/>
  <c r="D73" i="13" s="1"/>
  <c r="I60" i="2"/>
  <c r="D61" i="13" s="1"/>
  <c r="I48" i="2"/>
  <c r="D49" i="13" s="1"/>
  <c r="I36" i="2"/>
  <c r="D37" i="13" s="1"/>
  <c r="I24" i="2"/>
  <c r="D25" i="13" s="1"/>
  <c r="I12" i="2"/>
  <c r="D13" i="13" s="1"/>
  <c r="J16" i="2"/>
  <c r="E17" i="13" s="1"/>
  <c r="J4" i="2"/>
  <c r="E5" i="13" s="1"/>
  <c r="J84" i="2"/>
  <c r="E85" i="13" s="1"/>
  <c r="J72" i="2"/>
  <c r="E73" i="13" s="1"/>
  <c r="J60" i="2"/>
  <c r="E61" i="13" s="1"/>
  <c r="J48" i="2"/>
  <c r="E49" i="13" s="1"/>
  <c r="J36" i="2"/>
  <c r="E37" i="13" s="1"/>
  <c r="J24" i="2"/>
  <c r="E25" i="13" s="1"/>
  <c r="K90" i="2"/>
  <c r="F91" i="13" s="1"/>
  <c r="K78" i="2"/>
  <c r="F79" i="13" s="1"/>
  <c r="K66" i="2"/>
  <c r="F67" i="13" s="1"/>
  <c r="K54" i="2"/>
  <c r="F55" i="13" s="1"/>
  <c r="K42" i="2"/>
  <c r="F43" i="13" s="1"/>
  <c r="K30" i="2"/>
  <c r="F31" i="13" s="1"/>
  <c r="K18" i="2"/>
  <c r="F19" i="13" s="1"/>
  <c r="K6" i="2"/>
  <c r="F7" i="13" s="1"/>
  <c r="I95" i="2"/>
  <c r="D96" i="13" s="1"/>
  <c r="I83" i="2"/>
  <c r="D84" i="13" s="1"/>
  <c r="I71" i="2"/>
  <c r="D72" i="13" s="1"/>
  <c r="I59" i="2"/>
  <c r="D60" i="13" s="1"/>
  <c r="I47" i="2"/>
  <c r="D48" i="13" s="1"/>
  <c r="I35" i="2"/>
  <c r="D36" i="13" s="1"/>
  <c r="I23" i="2"/>
  <c r="D24" i="13" s="1"/>
  <c r="I11" i="2"/>
  <c r="D12" i="13" s="1"/>
  <c r="J15" i="2"/>
  <c r="E16" i="13" s="1"/>
  <c r="I94" i="2"/>
  <c r="D95" i="13" s="1"/>
  <c r="I82" i="2"/>
  <c r="D83" i="13" s="1"/>
  <c r="I70" i="2"/>
  <c r="D71" i="13" s="1"/>
  <c r="I58" i="2"/>
  <c r="D59" i="13" s="1"/>
  <c r="I46" i="2"/>
  <c r="D47" i="13" s="1"/>
  <c r="I34" i="2"/>
  <c r="D35" i="13" s="1"/>
  <c r="I22" i="2"/>
  <c r="D23" i="13" s="1"/>
  <c r="I10" i="2"/>
  <c r="D11" i="13" s="1"/>
  <c r="J14" i="2"/>
  <c r="E15" i="13" s="1"/>
  <c r="I93" i="2"/>
  <c r="D94" i="13" s="1"/>
  <c r="I81" i="2"/>
  <c r="D82" i="13" s="1"/>
  <c r="I69" i="2"/>
  <c r="D70" i="13" s="1"/>
  <c r="I57" i="2"/>
  <c r="D58" i="13" s="1"/>
  <c r="I45" i="2"/>
  <c r="D46" i="13" s="1"/>
  <c r="I33" i="2"/>
  <c r="D34" i="13" s="1"/>
  <c r="I21" i="2"/>
  <c r="D22" i="13" s="1"/>
  <c r="J13" i="2"/>
  <c r="E14" i="13" s="1"/>
  <c r="I92" i="2"/>
  <c r="D93" i="13" s="1"/>
  <c r="I80" i="2"/>
  <c r="D81" i="13" s="1"/>
  <c r="I68" i="2"/>
  <c r="D69" i="13" s="1"/>
  <c r="I56" i="2"/>
  <c r="D57" i="13" s="1"/>
  <c r="I44" i="2"/>
  <c r="D45" i="13" s="1"/>
  <c r="I32" i="2"/>
  <c r="D33" i="13" s="1"/>
  <c r="I20" i="2"/>
  <c r="D21" i="13" s="1"/>
  <c r="J12" i="2"/>
  <c r="E13" i="13" s="1"/>
  <c r="I91" i="2"/>
  <c r="D92" i="13" s="1"/>
  <c r="I79" i="2"/>
  <c r="D80" i="13" s="1"/>
  <c r="I67" i="2"/>
  <c r="D68" i="13" s="1"/>
  <c r="I55" i="2"/>
  <c r="D56" i="13" s="1"/>
  <c r="I43" i="2"/>
  <c r="D44" i="13" s="1"/>
  <c r="I31" i="2"/>
  <c r="D32" i="13" s="1"/>
  <c r="I19" i="2"/>
  <c r="D20" i="13" s="1"/>
  <c r="I90" i="2"/>
  <c r="D91" i="13" s="1"/>
  <c r="I78" i="2"/>
  <c r="D79" i="13" s="1"/>
  <c r="I66" i="2"/>
  <c r="D67" i="13" s="1"/>
  <c r="I54" i="2"/>
  <c r="D55" i="13" s="1"/>
  <c r="I42" i="2"/>
  <c r="D43" i="13" s="1"/>
  <c r="I30" i="2"/>
  <c r="D31" i="13" s="1"/>
  <c r="T73" i="13" l="1"/>
  <c r="T38" i="13"/>
  <c r="T55" i="13"/>
  <c r="V53" i="2"/>
  <c r="H54" i="13" s="1"/>
  <c r="V42" i="2"/>
  <c r="H43" i="13" s="1"/>
  <c r="V57" i="2"/>
  <c r="H58" i="13" s="1"/>
  <c r="V94" i="2"/>
  <c r="H95" i="13" s="1"/>
  <c r="V15" i="2"/>
  <c r="H16" i="13" s="1"/>
  <c r="V28" i="2"/>
  <c r="H29" i="13" s="1"/>
  <c r="V41" i="2"/>
  <c r="H42" i="13" s="1"/>
  <c r="E66" i="3"/>
  <c r="P65" i="13" s="1"/>
  <c r="U64" i="2"/>
  <c r="R65" i="13" s="1"/>
  <c r="T64" i="2"/>
  <c r="Q65" i="13" s="1"/>
  <c r="T7" i="2"/>
  <c r="Q8" i="13" s="1"/>
  <c r="E9" i="3"/>
  <c r="P8" i="13" s="1"/>
  <c r="U7" i="2"/>
  <c r="R8" i="13" s="1"/>
  <c r="T9" i="2"/>
  <c r="Q10" i="13" s="1"/>
  <c r="E11" i="3"/>
  <c r="P10" i="13" s="1"/>
  <c r="U9" i="2"/>
  <c r="R10" i="13" s="1"/>
  <c r="S31" i="13"/>
  <c r="W32" i="3"/>
  <c r="V32" i="3"/>
  <c r="E12" i="3"/>
  <c r="P11" i="13" s="1"/>
  <c r="U10" i="2"/>
  <c r="R11" i="13" s="1"/>
  <c r="T10" i="2"/>
  <c r="Q11" i="13" s="1"/>
  <c r="S8" i="13"/>
  <c r="W9" i="3"/>
  <c r="V9" i="3"/>
  <c r="T35" i="2"/>
  <c r="Q36" i="13" s="1"/>
  <c r="E37" i="3"/>
  <c r="P36" i="13" s="1"/>
  <c r="U35" i="2"/>
  <c r="R36" i="13" s="1"/>
  <c r="E73" i="3"/>
  <c r="P72" i="13" s="1"/>
  <c r="U71" i="2"/>
  <c r="R72" i="13" s="1"/>
  <c r="T71" i="2"/>
  <c r="Q72" i="13" s="1"/>
  <c r="U84" i="2"/>
  <c r="R85" i="13" s="1"/>
  <c r="E86" i="3"/>
  <c r="P85" i="13" s="1"/>
  <c r="T84" i="2"/>
  <c r="Q85" i="13" s="1"/>
  <c r="E87" i="3"/>
  <c r="P86" i="13" s="1"/>
  <c r="U85" i="2"/>
  <c r="R86" i="13" s="1"/>
  <c r="T85" i="2"/>
  <c r="Q86" i="13" s="1"/>
  <c r="S95" i="13"/>
  <c r="T95" i="13" s="1"/>
  <c r="V96" i="3"/>
  <c r="W96" i="3"/>
  <c r="S28" i="13"/>
  <c r="W29" i="3"/>
  <c r="V29" i="3"/>
  <c r="S53" i="13"/>
  <c r="T53" i="13" s="1"/>
  <c r="V54" i="3"/>
  <c r="W54" i="3"/>
  <c r="V9" i="2"/>
  <c r="H10" i="13" s="1"/>
  <c r="S35" i="13"/>
  <c r="V36" i="3"/>
  <c r="W36" i="3"/>
  <c r="S36" i="13"/>
  <c r="V37" i="3"/>
  <c r="W37" i="3"/>
  <c r="S13" i="13"/>
  <c r="W14" i="3"/>
  <c r="V14" i="3"/>
  <c r="V81" i="2"/>
  <c r="H82" i="13" s="1"/>
  <c r="T93" i="2"/>
  <c r="Q94" i="13" s="1"/>
  <c r="E95" i="3"/>
  <c r="P94" i="13" s="1"/>
  <c r="U93" i="2"/>
  <c r="R94" i="13" s="1"/>
  <c r="S43" i="13"/>
  <c r="V44" i="3"/>
  <c r="W44" i="3"/>
  <c r="T58" i="2"/>
  <c r="Q59" i="13" s="1"/>
  <c r="U58" i="2"/>
  <c r="R59" i="13" s="1"/>
  <c r="E60" i="3"/>
  <c r="S20" i="13"/>
  <c r="V21" i="3"/>
  <c r="W21" i="3"/>
  <c r="S70" i="13"/>
  <c r="V71" i="3"/>
  <c r="W71" i="3"/>
  <c r="E53" i="3"/>
  <c r="P52" i="13" s="1"/>
  <c r="U51" i="2"/>
  <c r="R52" i="13" s="1"/>
  <c r="T51" i="2"/>
  <c r="Q52" i="13" s="1"/>
  <c r="E89" i="3"/>
  <c r="P88" i="13" s="1"/>
  <c r="T87" i="2"/>
  <c r="Q88" i="13" s="1"/>
  <c r="U87" i="2"/>
  <c r="R88" i="13" s="1"/>
  <c r="S85" i="13"/>
  <c r="W86" i="3"/>
  <c r="V86" i="3"/>
  <c r="E56" i="3"/>
  <c r="T54" i="2"/>
  <c r="Q55" i="13" s="1"/>
  <c r="U54" i="2"/>
  <c r="R55" i="13" s="1"/>
  <c r="E92" i="3"/>
  <c r="P91" i="13" s="1"/>
  <c r="U90" i="2"/>
  <c r="R91" i="13" s="1"/>
  <c r="T90" i="2"/>
  <c r="Q91" i="13" s="1"/>
  <c r="S40" i="13"/>
  <c r="T40" i="13" s="1"/>
  <c r="W41" i="3"/>
  <c r="V41" i="3"/>
  <c r="S65" i="13"/>
  <c r="W66" i="3"/>
  <c r="V66" i="3"/>
  <c r="E10" i="3"/>
  <c r="P9" i="13" s="1"/>
  <c r="T8" i="2"/>
  <c r="Q9" i="13" s="1"/>
  <c r="U8" i="2"/>
  <c r="R9" i="13" s="1"/>
  <c r="E46" i="3"/>
  <c r="T44" i="2"/>
  <c r="Q45" i="13" s="1"/>
  <c r="U44" i="2"/>
  <c r="R45" i="13" s="1"/>
  <c r="E82" i="3"/>
  <c r="T80" i="2"/>
  <c r="Q81" i="13" s="1"/>
  <c r="U80" i="2"/>
  <c r="R81" i="13" s="1"/>
  <c r="V20" i="2"/>
  <c r="H21" i="13" s="1"/>
  <c r="E20" i="3"/>
  <c r="P19" i="13" s="1"/>
  <c r="U18" i="2"/>
  <c r="R19" i="13" s="1"/>
  <c r="T18" i="2"/>
  <c r="Q19" i="13" s="1"/>
  <c r="V12" i="2"/>
  <c r="H13" i="13" s="1"/>
  <c r="V13" i="2"/>
  <c r="H14" i="13" s="1"/>
  <c r="V26" i="2"/>
  <c r="H27" i="13" s="1"/>
  <c r="V39" i="2"/>
  <c r="H40" i="13" s="1"/>
  <c r="V65" i="2"/>
  <c r="H66" i="13" s="1"/>
  <c r="V24" i="2"/>
  <c r="H25" i="13" s="1"/>
  <c r="V38" i="2"/>
  <c r="H39" i="13" s="1"/>
  <c r="E57" i="3"/>
  <c r="T55" i="2"/>
  <c r="Q56" i="13" s="1"/>
  <c r="U55" i="2"/>
  <c r="R56" i="13" s="1"/>
  <c r="E93" i="3"/>
  <c r="P92" i="13" s="1"/>
  <c r="T91" i="2"/>
  <c r="Q92" i="13" s="1"/>
  <c r="U91" i="2"/>
  <c r="R92" i="13" s="1"/>
  <c r="T21" i="2"/>
  <c r="Q22" i="13" s="1"/>
  <c r="E23" i="3"/>
  <c r="P22" i="13" s="1"/>
  <c r="U21" i="2"/>
  <c r="R22" i="13" s="1"/>
  <c r="T57" i="2"/>
  <c r="Q58" i="13" s="1"/>
  <c r="U57" i="2"/>
  <c r="R58" i="13" s="1"/>
  <c r="E59" i="3"/>
  <c r="E24" i="3"/>
  <c r="T22" i="2"/>
  <c r="Q23" i="13" s="1"/>
  <c r="U22" i="2"/>
  <c r="R23" i="13" s="1"/>
  <c r="T94" i="2"/>
  <c r="Q95" i="13" s="1"/>
  <c r="E96" i="3"/>
  <c r="P95" i="13" s="1"/>
  <c r="U94" i="2"/>
  <c r="R95" i="13" s="1"/>
  <c r="S92" i="13"/>
  <c r="W93" i="3"/>
  <c r="V93" i="3"/>
  <c r="E49" i="3"/>
  <c r="P48" i="13" s="1"/>
  <c r="T47" i="2"/>
  <c r="Q48" i="13" s="1"/>
  <c r="U47" i="2"/>
  <c r="R48" i="13" s="1"/>
  <c r="S10" i="13"/>
  <c r="V11" i="3"/>
  <c r="W11" i="3"/>
  <c r="S47" i="13"/>
  <c r="V48" i="3"/>
  <c r="W48" i="3"/>
  <c r="S48" i="13"/>
  <c r="V49" i="3"/>
  <c r="W49" i="3"/>
  <c r="T15" i="2"/>
  <c r="Q16" i="13" s="1"/>
  <c r="E17" i="3"/>
  <c r="P16" i="13" s="1"/>
  <c r="U15" i="2"/>
  <c r="R16" i="13" s="1"/>
  <c r="S25" i="13"/>
  <c r="T25" i="13" s="1"/>
  <c r="V26" i="3"/>
  <c r="W26" i="3"/>
  <c r="S75" i="13"/>
  <c r="W76" i="3"/>
  <c r="V76" i="3"/>
  <c r="V18" i="2"/>
  <c r="H19" i="13" s="1"/>
  <c r="M53" i="3"/>
  <c r="Q53" i="3" s="1"/>
  <c r="S66" i="13"/>
  <c r="T66" i="13" s="1"/>
  <c r="W67" i="3"/>
  <c r="V67" i="3"/>
  <c r="S54" i="13"/>
  <c r="T54" i="13" s="1"/>
  <c r="V55" i="3"/>
  <c r="W55" i="3"/>
  <c r="V7" i="2"/>
  <c r="H8" i="13" s="1"/>
  <c r="S42" i="13"/>
  <c r="T42" i="13" s="1"/>
  <c r="V43" i="3"/>
  <c r="W43" i="3"/>
  <c r="V66" i="2"/>
  <c r="H67" i="13" s="1"/>
  <c r="V32" i="2"/>
  <c r="H33" i="13" s="1"/>
  <c r="V11" i="2"/>
  <c r="H12" i="13" s="1"/>
  <c r="V52" i="2"/>
  <c r="H53" i="13" s="1"/>
  <c r="V78" i="2"/>
  <c r="H79" i="13" s="1"/>
  <c r="V44" i="2"/>
  <c r="H45" i="13" s="1"/>
  <c r="V93" i="2"/>
  <c r="H94" i="13" s="1"/>
  <c r="V23" i="2"/>
  <c r="H24" i="13" s="1"/>
  <c r="V25" i="2"/>
  <c r="H26" i="13" s="1"/>
  <c r="V51" i="2"/>
  <c r="H52" i="13" s="1"/>
  <c r="V64" i="2"/>
  <c r="H65" i="13" s="1"/>
  <c r="V77" i="2"/>
  <c r="H78" i="13" s="1"/>
  <c r="E42" i="3"/>
  <c r="P41" i="13" s="1"/>
  <c r="T40" i="2"/>
  <c r="Q41" i="13" s="1"/>
  <c r="U40" i="2"/>
  <c r="R41" i="13" s="1"/>
  <c r="V90" i="2"/>
  <c r="H91" i="13" s="1"/>
  <c r="V56" i="2"/>
  <c r="H57" i="13" s="1"/>
  <c r="V35" i="2"/>
  <c r="H36" i="13" s="1"/>
  <c r="V36" i="2"/>
  <c r="H37" i="13" s="1"/>
  <c r="V37" i="2"/>
  <c r="H38" i="13" s="1"/>
  <c r="V50" i="2"/>
  <c r="H51" i="13" s="1"/>
  <c r="V63" i="2"/>
  <c r="H64" i="13" s="1"/>
  <c r="V76" i="2"/>
  <c r="H77" i="13" s="1"/>
  <c r="V89" i="2"/>
  <c r="H90" i="13" s="1"/>
  <c r="E6" i="3"/>
  <c r="N6" i="3" s="1"/>
  <c r="R6" i="3" s="1"/>
  <c r="U4" i="2"/>
  <c r="R5" i="13" s="1"/>
  <c r="T4" i="2"/>
  <c r="Q5" i="13" s="1"/>
  <c r="E78" i="3"/>
  <c r="N78" i="3" s="1"/>
  <c r="R78" i="3" s="1"/>
  <c r="U76" i="2"/>
  <c r="R77" i="13" s="1"/>
  <c r="T76" i="2"/>
  <c r="Q77" i="13" s="1"/>
  <c r="E55" i="3"/>
  <c r="P54" i="13" s="1"/>
  <c r="U53" i="2"/>
  <c r="R54" i="13" s="1"/>
  <c r="T53" i="2"/>
  <c r="Q54" i="13" s="1"/>
  <c r="E91" i="3"/>
  <c r="P90" i="13" s="1"/>
  <c r="U89" i="2"/>
  <c r="R90" i="13" s="1"/>
  <c r="T89" i="2"/>
  <c r="Q90" i="13" s="1"/>
  <c r="E21" i="3"/>
  <c r="P20" i="13" s="1"/>
  <c r="T19" i="2"/>
  <c r="Q20" i="13" s="1"/>
  <c r="U19" i="2"/>
  <c r="R20" i="13" s="1"/>
  <c r="S32" i="13"/>
  <c r="W33" i="3"/>
  <c r="V33" i="3"/>
  <c r="U83" i="2"/>
  <c r="R84" i="13" s="1"/>
  <c r="E85" i="3"/>
  <c r="T83" i="2"/>
  <c r="Q84" i="13" s="1"/>
  <c r="S69" i="13"/>
  <c r="T69" i="13" s="1"/>
  <c r="V70" i="3"/>
  <c r="W70" i="3"/>
  <c r="S82" i="13"/>
  <c r="V83" i="3"/>
  <c r="W83" i="3"/>
  <c r="T61" i="2"/>
  <c r="Q62" i="13" s="1"/>
  <c r="E63" i="3"/>
  <c r="U61" i="2"/>
  <c r="R62" i="13" s="1"/>
  <c r="T26" i="2"/>
  <c r="Q27" i="13" s="1"/>
  <c r="E28" i="3"/>
  <c r="N28" i="3" s="1"/>
  <c r="R28" i="3" s="1"/>
  <c r="U26" i="2"/>
  <c r="R27" i="13" s="1"/>
  <c r="E68" i="3"/>
  <c r="U66" i="2"/>
  <c r="R67" i="13" s="1"/>
  <c r="T66" i="2"/>
  <c r="Q67" i="13" s="1"/>
  <c r="S52" i="13"/>
  <c r="W53" i="3"/>
  <c r="V53" i="3"/>
  <c r="S5" i="13"/>
  <c r="T5" i="13" s="1"/>
  <c r="W6" i="3"/>
  <c r="V6" i="3"/>
  <c r="S77" i="13"/>
  <c r="V78" i="3"/>
  <c r="W78" i="3"/>
  <c r="V54" i="2"/>
  <c r="H55" i="13" s="1"/>
  <c r="S63" i="13"/>
  <c r="T63" i="13" s="1"/>
  <c r="V64" i="3"/>
  <c r="W64" i="3"/>
  <c r="V48" i="2"/>
  <c r="H49" i="13" s="1"/>
  <c r="E19" i="3"/>
  <c r="N19" i="3" s="1"/>
  <c r="R19" i="3" s="1"/>
  <c r="U17" i="2"/>
  <c r="R18" i="13" s="1"/>
  <c r="T17" i="2"/>
  <c r="Q18" i="13" s="1"/>
  <c r="E35" i="3"/>
  <c r="U33" i="2"/>
  <c r="R34" i="13" s="1"/>
  <c r="T33" i="2"/>
  <c r="Q34" i="13" s="1"/>
  <c r="E13" i="3"/>
  <c r="M13" i="3" s="1"/>
  <c r="Q13" i="3" s="1"/>
  <c r="U11" i="2"/>
  <c r="R12" i="13" s="1"/>
  <c r="T11" i="2"/>
  <c r="Q12" i="13" s="1"/>
  <c r="S9" i="13"/>
  <c r="V10" i="3"/>
  <c r="W10" i="3"/>
  <c r="U24" i="2"/>
  <c r="R25" i="13" s="1"/>
  <c r="T24" i="2"/>
  <c r="Q25" i="13" s="1"/>
  <c r="E26" i="3"/>
  <c r="N26" i="3" s="1"/>
  <c r="R26" i="3" s="1"/>
  <c r="U60" i="2"/>
  <c r="R61" i="13" s="1"/>
  <c r="T60" i="2"/>
  <c r="Q61" i="13" s="1"/>
  <c r="E62" i="3"/>
  <c r="U2" i="2"/>
  <c r="R3" i="13" s="1"/>
  <c r="E4" i="3"/>
  <c r="P3" i="13" s="1"/>
  <c r="S22" i="13"/>
  <c r="V23" i="3"/>
  <c r="W23" i="3"/>
  <c r="E27" i="3"/>
  <c r="P26" i="13" s="1"/>
  <c r="U25" i="2"/>
  <c r="R26" i="13" s="1"/>
  <c r="T25" i="2"/>
  <c r="Q26" i="13" s="1"/>
  <c r="S59" i="13"/>
  <c r="V60" i="3"/>
  <c r="W60" i="3"/>
  <c r="N92" i="3"/>
  <c r="R92" i="3" s="1"/>
  <c r="T62" i="2"/>
  <c r="Q63" i="13" s="1"/>
  <c r="E64" i="3"/>
  <c r="P63" i="13" s="1"/>
  <c r="U62" i="2"/>
  <c r="R63" i="13" s="1"/>
  <c r="S60" i="13"/>
  <c r="T60" i="13" s="1"/>
  <c r="V61" i="3"/>
  <c r="W61" i="3"/>
  <c r="S37" i="13"/>
  <c r="T37" i="13" s="1"/>
  <c r="V38" i="3"/>
  <c r="W38" i="3"/>
  <c r="S50" i="13"/>
  <c r="V51" i="3"/>
  <c r="W51" i="3"/>
  <c r="S15" i="13"/>
  <c r="V16" i="3"/>
  <c r="W16" i="3"/>
  <c r="M57" i="3"/>
  <c r="Q57" i="3" s="1"/>
  <c r="V8" i="2"/>
  <c r="H9" i="13" s="1"/>
  <c r="S78" i="13"/>
  <c r="T78" i="13" s="1"/>
  <c r="W79" i="3"/>
  <c r="V79" i="3"/>
  <c r="E43" i="3"/>
  <c r="P42" i="13" s="1"/>
  <c r="T41" i="2"/>
  <c r="Q42" i="13" s="1"/>
  <c r="U41" i="2"/>
  <c r="R42" i="13" s="1"/>
  <c r="E15" i="3"/>
  <c r="P14" i="13" s="1"/>
  <c r="U13" i="2"/>
  <c r="R14" i="13" s="1"/>
  <c r="T13" i="2"/>
  <c r="Q14" i="13" s="1"/>
  <c r="N23" i="3"/>
  <c r="R23" i="3" s="1"/>
  <c r="S26" i="13"/>
  <c r="V27" i="3"/>
  <c r="W27" i="3"/>
  <c r="V19" i="2"/>
  <c r="H20" i="13" s="1"/>
  <c r="V68" i="2"/>
  <c r="H69" i="13" s="1"/>
  <c r="V10" i="2"/>
  <c r="H11" i="13" s="1"/>
  <c r="V47" i="2"/>
  <c r="H48" i="13" s="1"/>
  <c r="V49" i="2"/>
  <c r="H50" i="13" s="1"/>
  <c r="V62" i="2"/>
  <c r="H63" i="13" s="1"/>
  <c r="V75" i="2"/>
  <c r="H76" i="13" s="1"/>
  <c r="V88" i="2"/>
  <c r="H89" i="13" s="1"/>
  <c r="V31" i="2"/>
  <c r="H32" i="13" s="1"/>
  <c r="V80" i="2"/>
  <c r="H81" i="13" s="1"/>
  <c r="V22" i="2"/>
  <c r="H23" i="13" s="1"/>
  <c r="V59" i="2"/>
  <c r="H60" i="13" s="1"/>
  <c r="V60" i="2"/>
  <c r="H61" i="13" s="1"/>
  <c r="V61" i="2"/>
  <c r="H62" i="13" s="1"/>
  <c r="V74" i="2"/>
  <c r="H75" i="13" s="1"/>
  <c r="V87" i="2"/>
  <c r="H88" i="13" s="1"/>
  <c r="E36" i="3"/>
  <c r="P35" i="13" s="1"/>
  <c r="T34" i="2"/>
  <c r="Q35" i="13" s="1"/>
  <c r="U34" i="2"/>
  <c r="R35" i="13" s="1"/>
  <c r="E72" i="3"/>
  <c r="P71" i="13" s="1"/>
  <c r="U70" i="2"/>
  <c r="R71" i="13" s="1"/>
  <c r="T70" i="2"/>
  <c r="Q71" i="13" s="1"/>
  <c r="S44" i="13"/>
  <c r="V45" i="3"/>
  <c r="W45" i="3"/>
  <c r="S81" i="13"/>
  <c r="V82" i="3"/>
  <c r="W82" i="3"/>
  <c r="S94" i="13"/>
  <c r="W95" i="3"/>
  <c r="V95" i="3"/>
  <c r="M73" i="3"/>
  <c r="Q73" i="3" s="1"/>
  <c r="E29" i="3"/>
  <c r="P28" i="13" s="1"/>
  <c r="T27" i="2"/>
  <c r="Q28" i="13" s="1"/>
  <c r="U27" i="2"/>
  <c r="R28" i="13" s="1"/>
  <c r="U63" i="2"/>
  <c r="R64" i="13" s="1"/>
  <c r="T63" i="2"/>
  <c r="Q64" i="13" s="1"/>
  <c r="E65" i="3"/>
  <c r="N65" i="3" s="1"/>
  <c r="R65" i="3" s="1"/>
  <c r="E32" i="3"/>
  <c r="P31" i="13" s="1"/>
  <c r="U30" i="2"/>
  <c r="R31" i="13" s="1"/>
  <c r="T30" i="2"/>
  <c r="Q31" i="13" s="1"/>
  <c r="S64" i="13"/>
  <c r="W65" i="3"/>
  <c r="V65" i="3"/>
  <c r="S17" i="13"/>
  <c r="W18" i="3"/>
  <c r="V18" i="3"/>
  <c r="S89" i="13"/>
  <c r="W90" i="3"/>
  <c r="V90" i="3"/>
  <c r="N12" i="3"/>
  <c r="R12" i="3" s="1"/>
  <c r="E94" i="3"/>
  <c r="T92" i="2"/>
  <c r="Q93" i="13" s="1"/>
  <c r="U92" i="2"/>
  <c r="R93" i="13" s="1"/>
  <c r="V14" i="2"/>
  <c r="H15" i="13" s="1"/>
  <c r="V27" i="2"/>
  <c r="H28" i="13" s="1"/>
  <c r="V40" i="2"/>
  <c r="H41" i="13" s="1"/>
  <c r="E30" i="3"/>
  <c r="T28" i="2"/>
  <c r="Q29" i="13" s="1"/>
  <c r="U28" i="2"/>
  <c r="R29" i="13" s="1"/>
  <c r="E14" i="3"/>
  <c r="U12" i="2"/>
  <c r="R13" i="13" s="1"/>
  <c r="T12" i="2"/>
  <c r="Q13" i="13" s="1"/>
  <c r="U48" i="2"/>
  <c r="R49" i="13" s="1"/>
  <c r="T48" i="2"/>
  <c r="Q49" i="13" s="1"/>
  <c r="E50" i="3"/>
  <c r="V43" i="2"/>
  <c r="H44" i="13" s="1"/>
  <c r="V92" i="2"/>
  <c r="H93" i="13" s="1"/>
  <c r="V34" i="2"/>
  <c r="H35" i="13" s="1"/>
  <c r="V71" i="2"/>
  <c r="H72" i="13" s="1"/>
  <c r="V72" i="2"/>
  <c r="H73" i="13" s="1"/>
  <c r="V73" i="2"/>
  <c r="H74" i="13" s="1"/>
  <c r="V86" i="2"/>
  <c r="H87" i="13" s="1"/>
  <c r="E18" i="3"/>
  <c r="P17" i="13" s="1"/>
  <c r="U16" i="2"/>
  <c r="R17" i="13" s="1"/>
  <c r="T16" i="2"/>
  <c r="Q17" i="13" s="1"/>
  <c r="E33" i="3"/>
  <c r="U31" i="2"/>
  <c r="R32" i="13" s="1"/>
  <c r="T31" i="2"/>
  <c r="Q32" i="13" s="1"/>
  <c r="T67" i="2"/>
  <c r="Q68" i="13" s="1"/>
  <c r="U67" i="2"/>
  <c r="R68" i="13" s="1"/>
  <c r="E69" i="3"/>
  <c r="P68" i="13" s="1"/>
  <c r="U69" i="2"/>
  <c r="R70" i="13" s="1"/>
  <c r="E71" i="3"/>
  <c r="T69" i="2"/>
  <c r="Q70" i="13" s="1"/>
  <c r="S67" i="13"/>
  <c r="T67" i="13" s="1"/>
  <c r="V68" i="3"/>
  <c r="W68" i="3"/>
  <c r="S21" i="13"/>
  <c r="W22" i="3"/>
  <c r="V22" i="3"/>
  <c r="S34" i="13"/>
  <c r="V35" i="3"/>
  <c r="W35" i="3"/>
  <c r="S72" i="13"/>
  <c r="V73" i="3"/>
  <c r="W73" i="3"/>
  <c r="S49" i="13"/>
  <c r="T49" i="13" s="1"/>
  <c r="V50" i="3"/>
  <c r="W50" i="3"/>
  <c r="S62" i="13"/>
  <c r="V63" i="3"/>
  <c r="W63" i="3"/>
  <c r="S27" i="13"/>
  <c r="W28" i="3"/>
  <c r="V28" i="3"/>
  <c r="N24" i="3"/>
  <c r="R24" i="3" s="1"/>
  <c r="E22" i="3"/>
  <c r="N22" i="3" s="1"/>
  <c r="R22" i="3" s="1"/>
  <c r="T20" i="2"/>
  <c r="Q21" i="13" s="1"/>
  <c r="U20" i="2"/>
  <c r="R21" i="13" s="1"/>
  <c r="E58" i="3"/>
  <c r="U56" i="2"/>
  <c r="R57" i="13" s="1"/>
  <c r="T56" i="2"/>
  <c r="Q57" i="13" s="1"/>
  <c r="S90" i="13"/>
  <c r="V91" i="3"/>
  <c r="W91" i="3"/>
  <c r="E51" i="3"/>
  <c r="U49" i="2"/>
  <c r="R50" i="13" s="1"/>
  <c r="T49" i="2"/>
  <c r="Q50" i="13" s="1"/>
  <c r="V55" i="2"/>
  <c r="H56" i="13" s="1"/>
  <c r="V46" i="2"/>
  <c r="H47" i="13" s="1"/>
  <c r="V83" i="2"/>
  <c r="H84" i="13" s="1"/>
  <c r="V84" i="2"/>
  <c r="H85" i="13" s="1"/>
  <c r="V85" i="2"/>
  <c r="H86" i="13" s="1"/>
  <c r="E54" i="3"/>
  <c r="M54" i="3" s="1"/>
  <c r="Q54" i="3" s="1"/>
  <c r="U52" i="2"/>
  <c r="R53" i="13" s="1"/>
  <c r="T52" i="2"/>
  <c r="Q53" i="13" s="1"/>
  <c r="E31" i="3"/>
  <c r="P30" i="13" s="1"/>
  <c r="T29" i="2"/>
  <c r="Q30" i="13" s="1"/>
  <c r="U29" i="2"/>
  <c r="R30" i="13" s="1"/>
  <c r="S7" i="13"/>
  <c r="W8" i="3"/>
  <c r="V8" i="3"/>
  <c r="U95" i="2"/>
  <c r="R96" i="13" s="1"/>
  <c r="E97" i="3"/>
  <c r="P96" i="13" s="1"/>
  <c r="T95" i="2"/>
  <c r="Q96" i="13" s="1"/>
  <c r="N53" i="3"/>
  <c r="R53" i="3" s="1"/>
  <c r="S93" i="13"/>
  <c r="V94" i="3"/>
  <c r="W94" i="3"/>
  <c r="E39" i="3"/>
  <c r="U37" i="2"/>
  <c r="R38" i="13" s="1"/>
  <c r="T37" i="2"/>
  <c r="Q38" i="13" s="1"/>
  <c r="T73" i="2"/>
  <c r="Q74" i="13" s="1"/>
  <c r="E75" i="3"/>
  <c r="U73" i="2"/>
  <c r="R74" i="13" s="1"/>
  <c r="T74" i="2"/>
  <c r="Q75" i="13" s="1"/>
  <c r="E76" i="3"/>
  <c r="U74" i="2"/>
  <c r="R75" i="13" s="1"/>
  <c r="S76" i="13"/>
  <c r="W77" i="3"/>
  <c r="V77" i="3"/>
  <c r="S29" i="13"/>
  <c r="T29" i="13" s="1"/>
  <c r="W30" i="3"/>
  <c r="V30" i="3"/>
  <c r="V67" i="2"/>
  <c r="H68" i="13" s="1"/>
  <c r="V21" i="2"/>
  <c r="H22" i="13" s="1"/>
  <c r="V58" i="2"/>
  <c r="H59" i="13" s="1"/>
  <c r="V95" i="2"/>
  <c r="H96" i="13" s="1"/>
  <c r="V5" i="2"/>
  <c r="H6" i="13" s="1"/>
  <c r="E90" i="3"/>
  <c r="T88" i="2"/>
  <c r="Q89" i="13" s="1"/>
  <c r="U88" i="2"/>
  <c r="R89" i="13" s="1"/>
  <c r="E67" i="3"/>
  <c r="P66" i="13" s="1"/>
  <c r="U65" i="2"/>
  <c r="R66" i="13" s="1"/>
  <c r="T65" i="2"/>
  <c r="Q66" i="13" s="1"/>
  <c r="E47" i="3"/>
  <c r="T45" i="2"/>
  <c r="Q46" i="13" s="1"/>
  <c r="U45" i="2"/>
  <c r="R46" i="13" s="1"/>
  <c r="S79" i="13"/>
  <c r="T79" i="13" s="1"/>
  <c r="V80" i="3"/>
  <c r="W80" i="3"/>
  <c r="E61" i="3"/>
  <c r="T59" i="2"/>
  <c r="Q60" i="13" s="1"/>
  <c r="U59" i="2"/>
  <c r="R60" i="13" s="1"/>
  <c r="S33" i="13"/>
  <c r="W34" i="3"/>
  <c r="V34" i="3"/>
  <c r="S46" i="13"/>
  <c r="V47" i="3"/>
  <c r="W47" i="3"/>
  <c r="M56" i="3"/>
  <c r="Q56" i="3" s="1"/>
  <c r="S11" i="13"/>
  <c r="T11" i="13" s="1"/>
  <c r="V12" i="3"/>
  <c r="W12" i="3"/>
  <c r="T38" i="2"/>
  <c r="Q39" i="13" s="1"/>
  <c r="U38" i="2"/>
  <c r="R39" i="13" s="1"/>
  <c r="E40" i="3"/>
  <c r="S12" i="13"/>
  <c r="W13" i="3"/>
  <c r="V13" i="3"/>
  <c r="S84" i="13"/>
  <c r="T84" i="13" s="1"/>
  <c r="V85" i="3"/>
  <c r="W85" i="3"/>
  <c r="S61" i="13"/>
  <c r="W62" i="3"/>
  <c r="V62" i="3"/>
  <c r="S74" i="13"/>
  <c r="V75" i="3"/>
  <c r="W75" i="3"/>
  <c r="S39" i="13"/>
  <c r="V40" i="3"/>
  <c r="W40" i="3"/>
  <c r="E80" i="3"/>
  <c r="T78" i="2"/>
  <c r="Q79" i="13" s="1"/>
  <c r="U78" i="2"/>
  <c r="R79" i="13" s="1"/>
  <c r="M17" i="3"/>
  <c r="Q17" i="3" s="1"/>
  <c r="M89" i="3"/>
  <c r="Q89" i="3" s="1"/>
  <c r="N73" i="3"/>
  <c r="R73" i="3" s="1"/>
  <c r="E34" i="3"/>
  <c r="U32" i="2"/>
  <c r="R33" i="13" s="1"/>
  <c r="T32" i="2"/>
  <c r="Q33" i="13" s="1"/>
  <c r="V79" i="2"/>
  <c r="H80" i="13" s="1"/>
  <c r="V33" i="2"/>
  <c r="H34" i="13" s="1"/>
  <c r="V70" i="2"/>
  <c r="H71" i="13" s="1"/>
  <c r="V4" i="2"/>
  <c r="H5" i="13" s="1"/>
  <c r="V17" i="2"/>
  <c r="H18" i="13" s="1"/>
  <c r="S19" i="13"/>
  <c r="W20" i="3"/>
  <c r="V20" i="3"/>
  <c r="M92" i="3"/>
  <c r="Q92" i="3" s="1"/>
  <c r="E48" i="3"/>
  <c r="N48" i="3" s="1"/>
  <c r="R48" i="3" s="1"/>
  <c r="U46" i="2"/>
  <c r="R47" i="13" s="1"/>
  <c r="T46" i="2"/>
  <c r="Q47" i="13" s="1"/>
  <c r="U82" i="2"/>
  <c r="R83" i="13" s="1"/>
  <c r="E84" i="3"/>
  <c r="T82" i="2"/>
  <c r="Q83" i="13" s="1"/>
  <c r="U23" i="2"/>
  <c r="R24" i="13" s="1"/>
  <c r="E25" i="3"/>
  <c r="P24" i="13" s="1"/>
  <c r="T23" i="2"/>
  <c r="Q24" i="13" s="1"/>
  <c r="U36" i="2"/>
  <c r="R37" i="13" s="1"/>
  <c r="E38" i="3"/>
  <c r="T36" i="2"/>
  <c r="Q37" i="13" s="1"/>
  <c r="E74" i="3"/>
  <c r="P73" i="13" s="1"/>
  <c r="U72" i="2"/>
  <c r="R73" i="13" s="1"/>
  <c r="T72" i="2"/>
  <c r="Q73" i="13" s="1"/>
  <c r="S83" i="13"/>
  <c r="T83" i="13" s="1"/>
  <c r="W84" i="3"/>
  <c r="V84" i="3"/>
  <c r="E8" i="3"/>
  <c r="T6" i="2"/>
  <c r="Q7" i="13" s="1"/>
  <c r="U6" i="2"/>
  <c r="R7" i="13" s="1"/>
  <c r="E44" i="3"/>
  <c r="T42" i="2"/>
  <c r="Q43" i="13" s="1"/>
  <c r="U42" i="2"/>
  <c r="R43" i="13" s="1"/>
  <c r="S16" i="13"/>
  <c r="V17" i="3"/>
  <c r="W17" i="3"/>
  <c r="S88" i="13"/>
  <c r="T88" i="13" s="1"/>
  <c r="W89" i="3"/>
  <c r="V89" i="3"/>
  <c r="S41" i="13"/>
  <c r="T41" i="13" s="1"/>
  <c r="V42" i="3"/>
  <c r="W42" i="3"/>
  <c r="V69" i="2"/>
  <c r="H70" i="13" s="1"/>
  <c r="E7" i="3"/>
  <c r="P6" i="13" s="1"/>
  <c r="T5" i="2"/>
  <c r="Q6" i="13" s="1"/>
  <c r="U5" i="2"/>
  <c r="R6" i="13" s="1"/>
  <c r="E79" i="3"/>
  <c r="U77" i="2"/>
  <c r="R78" i="13" s="1"/>
  <c r="T77" i="2"/>
  <c r="Q78" i="13" s="1"/>
  <c r="S80" i="13"/>
  <c r="T80" i="13" s="1"/>
  <c r="V81" i="3"/>
  <c r="W81" i="3"/>
  <c r="V30" i="2"/>
  <c r="H31" i="13" s="1"/>
  <c r="V91" i="2"/>
  <c r="H92" i="13" s="1"/>
  <c r="V45" i="2"/>
  <c r="H46" i="13" s="1"/>
  <c r="V82" i="2"/>
  <c r="H83" i="13" s="1"/>
  <c r="V16" i="2"/>
  <c r="H17" i="13" s="1"/>
  <c r="V29" i="2"/>
  <c r="H30" i="13" s="1"/>
  <c r="U43" i="2"/>
  <c r="R44" i="13" s="1"/>
  <c r="T43" i="2"/>
  <c r="Q44" i="13" s="1"/>
  <c r="E45" i="3"/>
  <c r="P44" i="13" s="1"/>
  <c r="T79" i="2"/>
  <c r="Q80" i="13" s="1"/>
  <c r="E81" i="3"/>
  <c r="U79" i="2"/>
  <c r="R80" i="13" s="1"/>
  <c r="E83" i="3"/>
  <c r="N83" i="3" s="1"/>
  <c r="R83" i="3" s="1"/>
  <c r="T81" i="2"/>
  <c r="Q82" i="13" s="1"/>
  <c r="U81" i="2"/>
  <c r="R82" i="13" s="1"/>
  <c r="S91" i="13"/>
  <c r="V92" i="3"/>
  <c r="W92" i="3"/>
  <c r="S68" i="13"/>
  <c r="V69" i="3"/>
  <c r="W69" i="3"/>
  <c r="S45" i="13"/>
  <c r="W46" i="3"/>
  <c r="V46" i="3"/>
  <c r="S23" i="13"/>
  <c r="V24" i="3"/>
  <c r="W24" i="3"/>
  <c r="T14" i="2"/>
  <c r="Q15" i="13" s="1"/>
  <c r="E16" i="3"/>
  <c r="P15" i="13" s="1"/>
  <c r="U14" i="2"/>
  <c r="R15" i="13" s="1"/>
  <c r="E52" i="3"/>
  <c r="T50" i="2"/>
  <c r="Q51" i="13" s="1"/>
  <c r="U50" i="2"/>
  <c r="R51" i="13" s="1"/>
  <c r="T86" i="2"/>
  <c r="Q87" i="13" s="1"/>
  <c r="U86" i="2"/>
  <c r="R87" i="13" s="1"/>
  <c r="E88" i="3"/>
  <c r="S24" i="13"/>
  <c r="T24" i="13" s="1"/>
  <c r="W25" i="3"/>
  <c r="V25" i="3"/>
  <c r="S96" i="13"/>
  <c r="T96" i="13" s="1"/>
  <c r="V97" i="3"/>
  <c r="W97" i="3"/>
  <c r="E41" i="3"/>
  <c r="T39" i="2"/>
  <c r="Q40" i="13" s="1"/>
  <c r="U39" i="2"/>
  <c r="R40" i="13" s="1"/>
  <c r="T75" i="2"/>
  <c r="Q76" i="13" s="1"/>
  <c r="E77" i="3"/>
  <c r="U75" i="2"/>
  <c r="R76" i="13" s="1"/>
  <c r="S14" i="13"/>
  <c r="V15" i="3"/>
  <c r="W15" i="3"/>
  <c r="S86" i="13"/>
  <c r="V87" i="3"/>
  <c r="W87" i="3"/>
  <c r="S51" i="13"/>
  <c r="W52" i="3"/>
  <c r="V52" i="3"/>
  <c r="V6" i="2"/>
  <c r="H7" i="13" s="1"/>
  <c r="M29" i="3"/>
  <c r="Q29" i="3" s="1"/>
  <c r="N85" i="3"/>
  <c r="R85" i="3" s="1"/>
  <c r="S6" i="13"/>
  <c r="T6" i="13" s="1"/>
  <c r="V7" i="3"/>
  <c r="W7" i="3"/>
  <c r="E70" i="3"/>
  <c r="P69" i="13" s="1"/>
  <c r="U68" i="2"/>
  <c r="R69" i="13" s="1"/>
  <c r="T68" i="2"/>
  <c r="Q69" i="13" s="1"/>
  <c r="S18" i="13"/>
  <c r="V19" i="3"/>
  <c r="W19" i="3"/>
  <c r="S87" i="13"/>
  <c r="W88" i="3"/>
  <c r="V88" i="3"/>
  <c r="E1" i="1"/>
  <c r="T90" i="13" l="1"/>
  <c r="P81" i="13"/>
  <c r="M82" i="3"/>
  <c r="Q82" i="3" s="1"/>
  <c r="P56" i="13"/>
  <c r="N57" i="3"/>
  <c r="R57" i="3" s="1"/>
  <c r="P23" i="13"/>
  <c r="M24" i="3"/>
  <c r="Q24" i="3" s="1"/>
  <c r="P18" i="13"/>
  <c r="M19" i="3"/>
  <c r="Q19" i="3" s="1"/>
  <c r="P45" i="13"/>
  <c r="M46" i="3"/>
  <c r="Q46" i="3" s="1"/>
  <c r="N4" i="3"/>
  <c r="R4" i="3" s="1"/>
  <c r="T62" i="13"/>
  <c r="T45" i="13"/>
  <c r="T59" i="13"/>
  <c r="N93" i="3"/>
  <c r="R93" i="3" s="1"/>
  <c r="T10" i="13"/>
  <c r="T89" i="13"/>
  <c r="T76" i="13"/>
  <c r="M20" i="3"/>
  <c r="Q20" i="3" s="1"/>
  <c r="T16" i="13"/>
  <c r="N49" i="3"/>
  <c r="R49" i="3" s="1"/>
  <c r="M66" i="3"/>
  <c r="Q66" i="3" s="1"/>
  <c r="N20" i="3"/>
  <c r="R20" i="3" s="1"/>
  <c r="N66" i="3"/>
  <c r="R66" i="3" s="1"/>
  <c r="M86" i="3"/>
  <c r="Q86" i="3" s="1"/>
  <c r="N86" i="3"/>
  <c r="R86" i="3" s="1"/>
  <c r="T92" i="13"/>
  <c r="T50" i="13"/>
  <c r="M12" i="3"/>
  <c r="Q12" i="3" s="1"/>
  <c r="N32" i="3"/>
  <c r="R32" i="3" s="1"/>
  <c r="N96" i="3"/>
  <c r="R96" i="3" s="1"/>
  <c r="M23" i="3"/>
  <c r="Q23" i="3" s="1"/>
  <c r="T86" i="13"/>
  <c r="N36" i="3"/>
  <c r="R36" i="3" s="1"/>
  <c r="T91" i="13"/>
  <c r="T46" i="13"/>
  <c r="T52" i="13"/>
  <c r="M32" i="3"/>
  <c r="Q32" i="3" s="1"/>
  <c r="T64" i="13"/>
  <c r="T70" i="13"/>
  <c r="M15" i="3"/>
  <c r="Q15" i="3" s="1"/>
  <c r="N15" i="3"/>
  <c r="R15" i="3" s="1"/>
  <c r="N9" i="3"/>
  <c r="R9" i="3" s="1"/>
  <c r="T7" i="13"/>
  <c r="M9" i="3"/>
  <c r="Q9" i="3" s="1"/>
  <c r="T20" i="13"/>
  <c r="N21" i="3"/>
  <c r="R21" i="3" s="1"/>
  <c r="M21" i="3"/>
  <c r="Q21" i="3" s="1"/>
  <c r="T68" i="13"/>
  <c r="M97" i="3"/>
  <c r="Q97" i="3" s="1"/>
  <c r="T19" i="13"/>
  <c r="M42" i="3"/>
  <c r="Q42" i="3" s="1"/>
  <c r="T36" i="13"/>
  <c r="T82" i="13"/>
  <c r="N51" i="3"/>
  <c r="R51" i="3" s="1"/>
  <c r="P50" i="13"/>
  <c r="N95" i="3"/>
  <c r="R95" i="3" s="1"/>
  <c r="N68" i="3"/>
  <c r="R68" i="3" s="1"/>
  <c r="P67" i="13"/>
  <c r="M6" i="3"/>
  <c r="Q6" i="3" s="1"/>
  <c r="P5" i="13"/>
  <c r="N35" i="3"/>
  <c r="R35" i="3" s="1"/>
  <c r="P34" i="13"/>
  <c r="M28" i="3"/>
  <c r="Q28" i="3" s="1"/>
  <c r="P27" i="13"/>
  <c r="M10" i="3"/>
  <c r="Q10" i="3" s="1"/>
  <c r="M48" i="3"/>
  <c r="Q48" i="3" s="1"/>
  <c r="P47" i="13"/>
  <c r="M77" i="3"/>
  <c r="Q77" i="3" s="1"/>
  <c r="P76" i="13"/>
  <c r="N76" i="3"/>
  <c r="R76" i="3" s="1"/>
  <c r="P75" i="13"/>
  <c r="M26" i="3"/>
  <c r="Q26" i="3" s="1"/>
  <c r="P25" i="13"/>
  <c r="N56" i="3"/>
  <c r="R56" i="3" s="1"/>
  <c r="P55" i="13"/>
  <c r="M83" i="3"/>
  <c r="Q83" i="3" s="1"/>
  <c r="P82" i="13"/>
  <c r="M7" i="3"/>
  <c r="Q7" i="3" s="1"/>
  <c r="M44" i="3"/>
  <c r="Q44" i="3" s="1"/>
  <c r="P43" i="13"/>
  <c r="M61" i="3"/>
  <c r="Q61" i="3" s="1"/>
  <c r="P60" i="13"/>
  <c r="N54" i="3"/>
  <c r="R54" i="3" s="1"/>
  <c r="P53" i="13"/>
  <c r="N47" i="3"/>
  <c r="R47" i="3" s="1"/>
  <c r="P46" i="13"/>
  <c r="M34" i="3"/>
  <c r="Q34" i="3" s="1"/>
  <c r="P33" i="13"/>
  <c r="N50" i="3"/>
  <c r="R50" i="3" s="1"/>
  <c r="P49" i="13"/>
  <c r="M91" i="3"/>
  <c r="Q91" i="3" s="1"/>
  <c r="M95" i="3"/>
  <c r="Q95" i="3" s="1"/>
  <c r="M85" i="3"/>
  <c r="Q85" i="3" s="1"/>
  <c r="P84" i="13"/>
  <c r="M41" i="3"/>
  <c r="Q41" i="3" s="1"/>
  <c r="P40" i="13"/>
  <c r="M52" i="3"/>
  <c r="Q52" i="3" s="1"/>
  <c r="P51" i="13"/>
  <c r="M81" i="3"/>
  <c r="Q81" i="3" s="1"/>
  <c r="P80" i="13"/>
  <c r="N90" i="3"/>
  <c r="R90" i="3" s="1"/>
  <c r="P89" i="13"/>
  <c r="M33" i="3"/>
  <c r="Q33" i="3" s="1"/>
  <c r="P32" i="13"/>
  <c r="N63" i="3"/>
  <c r="R63" i="3" s="1"/>
  <c r="P62" i="13"/>
  <c r="N60" i="3"/>
  <c r="R60" i="3" s="1"/>
  <c r="P59" i="13"/>
  <c r="M88" i="3"/>
  <c r="Q88" i="3" s="1"/>
  <c r="P87" i="13"/>
  <c r="N40" i="3"/>
  <c r="R40" i="3" s="1"/>
  <c r="P39" i="13"/>
  <c r="M75" i="3"/>
  <c r="Q75" i="3" s="1"/>
  <c r="P74" i="13"/>
  <c r="M58" i="3"/>
  <c r="Q58" i="3" s="1"/>
  <c r="P57" i="13"/>
  <c r="M59" i="3"/>
  <c r="Q59" i="3" s="1"/>
  <c r="P58" i="13"/>
  <c r="M69" i="3"/>
  <c r="Q69" i="3" s="1"/>
  <c r="N8" i="3"/>
  <c r="R8" i="3" s="1"/>
  <c r="P7" i="13"/>
  <c r="N84" i="3"/>
  <c r="R84" i="3" s="1"/>
  <c r="P83" i="13"/>
  <c r="N80" i="3"/>
  <c r="R80" i="3" s="1"/>
  <c r="P79" i="13"/>
  <c r="N10" i="3"/>
  <c r="R10" i="3" s="1"/>
  <c r="M94" i="3"/>
  <c r="Q94" i="3" s="1"/>
  <c r="P93" i="13"/>
  <c r="M35" i="3"/>
  <c r="Q35" i="3" s="1"/>
  <c r="M78" i="3"/>
  <c r="Q78" i="3" s="1"/>
  <c r="P77" i="13"/>
  <c r="N38" i="3"/>
  <c r="R38" i="3" s="1"/>
  <c r="P37" i="13"/>
  <c r="M30" i="3"/>
  <c r="Q30" i="3" s="1"/>
  <c r="P29" i="13"/>
  <c r="M96" i="3"/>
  <c r="Q96" i="3" s="1"/>
  <c r="M79" i="3"/>
  <c r="Q79" i="3" s="1"/>
  <c r="P78" i="13"/>
  <c r="M22" i="3"/>
  <c r="Q22" i="3" s="1"/>
  <c r="P21" i="13"/>
  <c r="N14" i="3"/>
  <c r="R14" i="3" s="1"/>
  <c r="P13" i="13"/>
  <c r="M68" i="3"/>
  <c r="Q68" i="3" s="1"/>
  <c r="M39" i="3"/>
  <c r="Q39" i="3" s="1"/>
  <c r="P38" i="13"/>
  <c r="N71" i="3"/>
  <c r="R71" i="3" s="1"/>
  <c r="P70" i="13"/>
  <c r="M65" i="3"/>
  <c r="Q65" i="3" s="1"/>
  <c r="P64" i="13"/>
  <c r="M62" i="3"/>
  <c r="Q62" i="3" s="1"/>
  <c r="P61" i="13"/>
  <c r="N13" i="3"/>
  <c r="R13" i="3" s="1"/>
  <c r="P12" i="13"/>
  <c r="N39" i="3"/>
  <c r="R39" i="3" s="1"/>
  <c r="T39" i="13"/>
  <c r="T72" i="13"/>
  <c r="T22" i="13"/>
  <c r="T9" i="13"/>
  <c r="T23" i="13"/>
  <c r="T48" i="13"/>
  <c r="T8" i="13"/>
  <c r="T21" i="13"/>
  <c r="T94" i="13"/>
  <c r="T65" i="13"/>
  <c r="T85" i="13"/>
  <c r="T28" i="13"/>
  <c r="T31" i="13"/>
  <c r="T12" i="13"/>
  <c r="T44" i="13"/>
  <c r="T15" i="13"/>
  <c r="T43" i="13"/>
  <c r="T18" i="13"/>
  <c r="T17" i="13"/>
  <c r="T74" i="13"/>
  <c r="T27" i="13"/>
  <c r="T34" i="13"/>
  <c r="T32" i="13"/>
  <c r="T35" i="13"/>
  <c r="T51" i="13"/>
  <c r="T26" i="13"/>
  <c r="T75" i="13"/>
  <c r="T47" i="13"/>
  <c r="T87" i="13"/>
  <c r="T77" i="13"/>
  <c r="T13" i="13"/>
  <c r="T14" i="13"/>
  <c r="T93" i="13"/>
  <c r="T81" i="13"/>
  <c r="N94" i="3"/>
  <c r="R94" i="3" s="1"/>
  <c r="N61" i="3"/>
  <c r="R61" i="3" s="1"/>
  <c r="M14" i="3"/>
  <c r="Q14" i="3" s="1"/>
  <c r="M80" i="3"/>
  <c r="Q80" i="3" s="1"/>
  <c r="M63" i="3"/>
  <c r="Q63" i="3" s="1"/>
  <c r="N75" i="3"/>
  <c r="R75" i="3" s="1"/>
  <c r="T33" i="13"/>
  <c r="P70" i="3"/>
  <c r="T70" i="3" s="1"/>
  <c r="O70" i="3"/>
  <c r="S70" i="3" s="1"/>
  <c r="O16" i="3"/>
  <c r="S16" i="3" s="1"/>
  <c r="P16" i="3"/>
  <c r="T16" i="3" s="1"/>
  <c r="P7" i="3"/>
  <c r="T7" i="3" s="1"/>
  <c r="O7" i="3"/>
  <c r="S7" i="3" s="1"/>
  <c r="O25" i="3"/>
  <c r="S25" i="3" s="1"/>
  <c r="P25" i="3"/>
  <c r="T25" i="3" s="1"/>
  <c r="N81" i="3"/>
  <c r="R81" i="3" s="1"/>
  <c r="P97" i="3"/>
  <c r="T97" i="3" s="1"/>
  <c r="O97" i="3"/>
  <c r="S97" i="3" s="1"/>
  <c r="O51" i="3"/>
  <c r="S51" i="3" s="1"/>
  <c r="P51" i="3"/>
  <c r="T51" i="3" s="1"/>
  <c r="O14" i="3"/>
  <c r="S14" i="3" s="1"/>
  <c r="P14" i="3"/>
  <c r="T14" i="3" s="1"/>
  <c r="O65" i="3"/>
  <c r="S65" i="3" s="1"/>
  <c r="P65" i="3"/>
  <c r="T65" i="3" s="1"/>
  <c r="O15" i="3"/>
  <c r="S15" i="3" s="1"/>
  <c r="P15" i="3"/>
  <c r="T15" i="3" s="1"/>
  <c r="P27" i="3"/>
  <c r="T27" i="3" s="1"/>
  <c r="O27" i="3"/>
  <c r="S27" i="3" s="1"/>
  <c r="M38" i="3"/>
  <c r="Q38" i="3" s="1"/>
  <c r="P85" i="3"/>
  <c r="T85" i="3" s="1"/>
  <c r="O85" i="3"/>
  <c r="S85" i="3" s="1"/>
  <c r="O49" i="3"/>
  <c r="S49" i="3" s="1"/>
  <c r="P49" i="3"/>
  <c r="T49" i="3" s="1"/>
  <c r="O57" i="3"/>
  <c r="S57" i="3" s="1"/>
  <c r="P57" i="3"/>
  <c r="T57" i="3" s="1"/>
  <c r="M27" i="3"/>
  <c r="Q27" i="3" s="1"/>
  <c r="P45" i="3"/>
  <c r="T45" i="3" s="1"/>
  <c r="O45" i="3"/>
  <c r="S45" i="3" s="1"/>
  <c r="O40" i="3"/>
  <c r="S40" i="3" s="1"/>
  <c r="P40" i="3"/>
  <c r="T40" i="3" s="1"/>
  <c r="P87" i="3"/>
  <c r="T87" i="3" s="1"/>
  <c r="O87" i="3"/>
  <c r="S87" i="3" s="1"/>
  <c r="P11" i="3"/>
  <c r="T11" i="3" s="1"/>
  <c r="O11" i="3"/>
  <c r="S11" i="3" s="1"/>
  <c r="O39" i="3"/>
  <c r="S39" i="3" s="1"/>
  <c r="P39" i="3"/>
  <c r="T39" i="3" s="1"/>
  <c r="N25" i="3"/>
  <c r="R25" i="3" s="1"/>
  <c r="P43" i="3"/>
  <c r="T43" i="3" s="1"/>
  <c r="O43" i="3"/>
  <c r="S43" i="3" s="1"/>
  <c r="N27" i="3"/>
  <c r="R27" i="3" s="1"/>
  <c r="N97" i="3"/>
  <c r="R97" i="3" s="1"/>
  <c r="M43" i="3"/>
  <c r="Q43" i="3" s="1"/>
  <c r="N33" i="3"/>
  <c r="R33" i="3" s="1"/>
  <c r="P55" i="3"/>
  <c r="T55" i="3" s="1"/>
  <c r="O55" i="3"/>
  <c r="S55" i="3" s="1"/>
  <c r="O37" i="3"/>
  <c r="S37" i="3" s="1"/>
  <c r="P37" i="3"/>
  <c r="T37" i="3" s="1"/>
  <c r="N55" i="3"/>
  <c r="R55" i="3" s="1"/>
  <c r="P74" i="3"/>
  <c r="T74" i="3" s="1"/>
  <c r="O74" i="3"/>
  <c r="S74" i="3" s="1"/>
  <c r="O47" i="3"/>
  <c r="S47" i="3" s="1"/>
  <c r="P47" i="3"/>
  <c r="T47" i="3" s="1"/>
  <c r="M47" i="3"/>
  <c r="Q47" i="3" s="1"/>
  <c r="M8" i="3"/>
  <c r="Q8" i="3" s="1"/>
  <c r="P18" i="3"/>
  <c r="T18" i="3" s="1"/>
  <c r="O18" i="3"/>
  <c r="S18" i="3" s="1"/>
  <c r="P30" i="3"/>
  <c r="T30" i="3" s="1"/>
  <c r="O30" i="3"/>
  <c r="S30" i="3" s="1"/>
  <c r="P94" i="3"/>
  <c r="T94" i="3" s="1"/>
  <c r="O94" i="3"/>
  <c r="S94" i="3" s="1"/>
  <c r="P64" i="3"/>
  <c r="T64" i="3" s="1"/>
  <c r="O64" i="3"/>
  <c r="S64" i="3" s="1"/>
  <c r="O78" i="3"/>
  <c r="S78" i="3" s="1"/>
  <c r="P78" i="3"/>
  <c r="T78" i="3" s="1"/>
  <c r="P42" i="3"/>
  <c r="T42" i="3" s="1"/>
  <c r="O42" i="3"/>
  <c r="S42" i="3" s="1"/>
  <c r="O46" i="3"/>
  <c r="S46" i="3" s="1"/>
  <c r="P46" i="3"/>
  <c r="T46" i="3" s="1"/>
  <c r="N45" i="3"/>
  <c r="R45" i="3" s="1"/>
  <c r="N18" i="3"/>
  <c r="R18" i="3" s="1"/>
  <c r="P82" i="3"/>
  <c r="T82" i="3" s="1"/>
  <c r="O82" i="3"/>
  <c r="S82" i="3" s="1"/>
  <c r="N34" i="3"/>
  <c r="R34" i="3" s="1"/>
  <c r="O72" i="3"/>
  <c r="S72" i="3" s="1"/>
  <c r="P72" i="3"/>
  <c r="T72" i="3" s="1"/>
  <c r="O60" i="3"/>
  <c r="S60" i="3" s="1"/>
  <c r="P60" i="3"/>
  <c r="T60" i="3" s="1"/>
  <c r="P84" i="3"/>
  <c r="T84" i="3" s="1"/>
  <c r="O84" i="3"/>
  <c r="S84" i="3" s="1"/>
  <c r="P88" i="3"/>
  <c r="T88" i="3" s="1"/>
  <c r="O88" i="3"/>
  <c r="S88" i="3" s="1"/>
  <c r="M25" i="3"/>
  <c r="Q25" i="3" s="1"/>
  <c r="T61" i="13"/>
  <c r="M84" i="3"/>
  <c r="Q84" i="3" s="1"/>
  <c r="P29" i="3"/>
  <c r="T29" i="3" s="1"/>
  <c r="O29" i="3"/>
  <c r="S29" i="3" s="1"/>
  <c r="P36" i="3"/>
  <c r="T36" i="3" s="1"/>
  <c r="O36" i="3"/>
  <c r="S36" i="3" s="1"/>
  <c r="M4" i="3"/>
  <c r="Q4" i="3" s="1"/>
  <c r="P4" i="3"/>
  <c r="T4" i="3" s="1"/>
  <c r="N74" i="3"/>
  <c r="R74" i="3" s="1"/>
  <c r="P28" i="3"/>
  <c r="T28" i="3" s="1"/>
  <c r="O28" i="3"/>
  <c r="S28" i="3" s="1"/>
  <c r="N42" i="3"/>
  <c r="R42" i="3" s="1"/>
  <c r="O4" i="3"/>
  <c r="S4" i="3" s="1"/>
  <c r="N37" i="3"/>
  <c r="R37" i="3" s="1"/>
  <c r="N52" i="3"/>
  <c r="R52" i="3" s="1"/>
  <c r="P23" i="3"/>
  <c r="T23" i="3" s="1"/>
  <c r="O23" i="3"/>
  <c r="S23" i="3" s="1"/>
  <c r="O92" i="3"/>
  <c r="S92" i="3" s="1"/>
  <c r="P92" i="3"/>
  <c r="T92" i="3" s="1"/>
  <c r="M37" i="3"/>
  <c r="Q37" i="3" s="1"/>
  <c r="P9" i="3"/>
  <c r="T9" i="3" s="1"/>
  <c r="O9" i="3"/>
  <c r="S9" i="3" s="1"/>
  <c r="O77" i="3"/>
  <c r="S77" i="3" s="1"/>
  <c r="P77" i="3"/>
  <c r="T77" i="3" s="1"/>
  <c r="P44" i="3"/>
  <c r="T44" i="3" s="1"/>
  <c r="O44" i="3"/>
  <c r="S44" i="3" s="1"/>
  <c r="O38" i="3"/>
  <c r="S38" i="3" s="1"/>
  <c r="P38" i="3"/>
  <c r="T38" i="3" s="1"/>
  <c r="O61" i="3"/>
  <c r="S61" i="3" s="1"/>
  <c r="P61" i="3"/>
  <c r="T61" i="3" s="1"/>
  <c r="P76" i="3"/>
  <c r="T76" i="3" s="1"/>
  <c r="O76" i="3"/>
  <c r="S76" i="3" s="1"/>
  <c r="O71" i="3"/>
  <c r="S71" i="3" s="1"/>
  <c r="P71" i="3"/>
  <c r="T71" i="3" s="1"/>
  <c r="P32" i="3"/>
  <c r="T32" i="3" s="1"/>
  <c r="O32" i="3"/>
  <c r="S32" i="3" s="1"/>
  <c r="P19" i="3"/>
  <c r="T19" i="3" s="1"/>
  <c r="O19" i="3"/>
  <c r="S19" i="3" s="1"/>
  <c r="P68" i="3"/>
  <c r="T68" i="3" s="1"/>
  <c r="O68" i="3"/>
  <c r="S68" i="3" s="1"/>
  <c r="P20" i="3"/>
  <c r="T20" i="3" s="1"/>
  <c r="O20" i="3"/>
  <c r="S20" i="3" s="1"/>
  <c r="M11" i="3"/>
  <c r="Q11" i="3" s="1"/>
  <c r="N44" i="3"/>
  <c r="R44" i="3" s="1"/>
  <c r="O86" i="3"/>
  <c r="S86" i="3" s="1"/>
  <c r="P86" i="3"/>
  <c r="T86" i="3" s="1"/>
  <c r="O33" i="3"/>
  <c r="S33" i="3" s="1"/>
  <c r="P33" i="3"/>
  <c r="T33" i="3" s="1"/>
  <c r="N88" i="3"/>
  <c r="R88" i="3" s="1"/>
  <c r="P67" i="3"/>
  <c r="T67" i="3" s="1"/>
  <c r="O67" i="3"/>
  <c r="S67" i="3" s="1"/>
  <c r="M40" i="3"/>
  <c r="Q40" i="3" s="1"/>
  <c r="P50" i="3"/>
  <c r="T50" i="3" s="1"/>
  <c r="O50" i="3"/>
  <c r="S50" i="3" s="1"/>
  <c r="O62" i="3"/>
  <c r="S62" i="3" s="1"/>
  <c r="P62" i="3"/>
  <c r="T62" i="3" s="1"/>
  <c r="O13" i="3"/>
  <c r="S13" i="3" s="1"/>
  <c r="P13" i="3"/>
  <c r="T13" i="3" s="1"/>
  <c r="M72" i="3"/>
  <c r="Q72" i="3" s="1"/>
  <c r="M74" i="3"/>
  <c r="Q74" i="3" s="1"/>
  <c r="P21" i="3"/>
  <c r="T21" i="3" s="1"/>
  <c r="O21" i="3"/>
  <c r="S21" i="3" s="1"/>
  <c r="P6" i="3"/>
  <c r="T6" i="3" s="1"/>
  <c r="O6" i="3"/>
  <c r="S6" i="3" s="1"/>
  <c r="O96" i="3"/>
  <c r="S96" i="3" s="1"/>
  <c r="P96" i="3"/>
  <c r="T96" i="3" s="1"/>
  <c r="O10" i="3"/>
  <c r="S10" i="3" s="1"/>
  <c r="P10" i="3"/>
  <c r="T10" i="3" s="1"/>
  <c r="O89" i="3"/>
  <c r="S89" i="3" s="1"/>
  <c r="P89" i="3"/>
  <c r="T89" i="3" s="1"/>
  <c r="N30" i="3"/>
  <c r="R30" i="3" s="1"/>
  <c r="P59" i="3"/>
  <c r="T59" i="3" s="1"/>
  <c r="O59" i="3"/>
  <c r="S59" i="3" s="1"/>
  <c r="P35" i="3"/>
  <c r="T35" i="3" s="1"/>
  <c r="O35" i="3"/>
  <c r="S35" i="3" s="1"/>
  <c r="N11" i="3"/>
  <c r="R11" i="3" s="1"/>
  <c r="N16" i="3"/>
  <c r="R16" i="3" s="1"/>
  <c r="O31" i="3"/>
  <c r="S31" i="3" s="1"/>
  <c r="P31" i="3"/>
  <c r="T31" i="3" s="1"/>
  <c r="P58" i="3"/>
  <c r="T58" i="3" s="1"/>
  <c r="O58" i="3"/>
  <c r="S58" i="3" s="1"/>
  <c r="O69" i="3"/>
  <c r="S69" i="3" s="1"/>
  <c r="P69" i="3"/>
  <c r="T69" i="3" s="1"/>
  <c r="N41" i="3"/>
  <c r="R41" i="3" s="1"/>
  <c r="M31" i="3"/>
  <c r="Q31" i="3" s="1"/>
  <c r="M16" i="3"/>
  <c r="Q16" i="3" s="1"/>
  <c r="M60" i="3"/>
  <c r="Q60" i="3" s="1"/>
  <c r="O17" i="3"/>
  <c r="S17" i="3" s="1"/>
  <c r="P17" i="3"/>
  <c r="T17" i="3" s="1"/>
  <c r="P56" i="3"/>
  <c r="T56" i="3" s="1"/>
  <c r="O56" i="3"/>
  <c r="S56" i="3" s="1"/>
  <c r="N89" i="3"/>
  <c r="R89" i="3" s="1"/>
  <c r="N77" i="3"/>
  <c r="R77" i="3" s="1"/>
  <c r="O48" i="3"/>
  <c r="S48" i="3" s="1"/>
  <c r="P48" i="3"/>
  <c r="T48" i="3" s="1"/>
  <c r="O79" i="3"/>
  <c r="S79" i="3" s="1"/>
  <c r="P79" i="3"/>
  <c r="T79" i="3" s="1"/>
  <c r="O8" i="3"/>
  <c r="S8" i="3" s="1"/>
  <c r="P8" i="3"/>
  <c r="T8" i="3" s="1"/>
  <c r="P80" i="3"/>
  <c r="T80" i="3" s="1"/>
  <c r="O80" i="3"/>
  <c r="S80" i="3" s="1"/>
  <c r="N82" i="3"/>
  <c r="R82" i="3" s="1"/>
  <c r="N79" i="3"/>
  <c r="R79" i="3" s="1"/>
  <c r="M45" i="3"/>
  <c r="Q45" i="3" s="1"/>
  <c r="M51" i="3"/>
  <c r="Q51" i="3" s="1"/>
  <c r="N67" i="3"/>
  <c r="R67" i="3" s="1"/>
  <c r="M70" i="3"/>
  <c r="Q70" i="3" s="1"/>
  <c r="O93" i="3"/>
  <c r="S93" i="3" s="1"/>
  <c r="P93" i="3"/>
  <c r="T93" i="3" s="1"/>
  <c r="M55" i="3"/>
  <c r="Q55" i="3" s="1"/>
  <c r="M76" i="3"/>
  <c r="Q76" i="3" s="1"/>
  <c r="N17" i="3"/>
  <c r="R17" i="3" s="1"/>
  <c r="P12" i="3"/>
  <c r="T12" i="3" s="1"/>
  <c r="O12" i="3"/>
  <c r="S12" i="3" s="1"/>
  <c r="P66" i="3"/>
  <c r="T66" i="3" s="1"/>
  <c r="O66" i="3"/>
  <c r="S66" i="3" s="1"/>
  <c r="O34" i="3"/>
  <c r="S34" i="3" s="1"/>
  <c r="P34" i="3"/>
  <c r="T34" i="3" s="1"/>
  <c r="O83" i="3"/>
  <c r="S83" i="3" s="1"/>
  <c r="P83" i="3"/>
  <c r="T83" i="3" s="1"/>
  <c r="P90" i="3"/>
  <c r="T90" i="3" s="1"/>
  <c r="O90" i="3"/>
  <c r="S90" i="3" s="1"/>
  <c r="N59" i="3"/>
  <c r="R59" i="3" s="1"/>
  <c r="M50" i="3"/>
  <c r="Q50" i="3" s="1"/>
  <c r="N7" i="3"/>
  <c r="R7" i="3" s="1"/>
  <c r="M90" i="3"/>
  <c r="Q90" i="3" s="1"/>
  <c r="P26" i="3"/>
  <c r="T26" i="3" s="1"/>
  <c r="O26" i="3"/>
  <c r="S26" i="3" s="1"/>
  <c r="N64" i="3"/>
  <c r="R64" i="3" s="1"/>
  <c r="N70" i="3"/>
  <c r="R70" i="3" s="1"/>
  <c r="N29" i="3"/>
  <c r="R29" i="3" s="1"/>
  <c r="O91" i="3"/>
  <c r="S91" i="3" s="1"/>
  <c r="P91" i="3"/>
  <c r="T91" i="3" s="1"/>
  <c r="N72" i="3"/>
  <c r="R72" i="3" s="1"/>
  <c r="N62" i="3"/>
  <c r="R62" i="3" s="1"/>
  <c r="N46" i="3"/>
  <c r="R46" i="3" s="1"/>
  <c r="P53" i="3"/>
  <c r="T53" i="3" s="1"/>
  <c r="O53" i="3"/>
  <c r="S53" i="3" s="1"/>
  <c r="M93" i="3"/>
  <c r="Q93" i="3" s="1"/>
  <c r="P95" i="3"/>
  <c r="T95" i="3" s="1"/>
  <c r="O95" i="3"/>
  <c r="S95" i="3" s="1"/>
  <c r="M36" i="3"/>
  <c r="Q36" i="3" s="1"/>
  <c r="P41" i="3"/>
  <c r="T41" i="3" s="1"/>
  <c r="O41" i="3"/>
  <c r="S41" i="3" s="1"/>
  <c r="P52" i="3"/>
  <c r="T52" i="3" s="1"/>
  <c r="O52" i="3"/>
  <c r="S52" i="3" s="1"/>
  <c r="O81" i="3"/>
  <c r="S81" i="3" s="1"/>
  <c r="P81" i="3"/>
  <c r="T81" i="3" s="1"/>
  <c r="M87" i="3"/>
  <c r="Q87" i="3" s="1"/>
  <c r="N31" i="3"/>
  <c r="R31" i="3" s="1"/>
  <c r="O75" i="3"/>
  <c r="S75" i="3" s="1"/>
  <c r="P75" i="3"/>
  <c r="T75" i="3" s="1"/>
  <c r="P54" i="3"/>
  <c r="T54" i="3" s="1"/>
  <c r="O54" i="3"/>
  <c r="S54" i="3" s="1"/>
  <c r="O22" i="3"/>
  <c r="S22" i="3" s="1"/>
  <c r="P22" i="3"/>
  <c r="T22" i="3" s="1"/>
  <c r="N69" i="3"/>
  <c r="R69" i="3" s="1"/>
  <c r="M18" i="3"/>
  <c r="Q18" i="3" s="1"/>
  <c r="N87" i="3"/>
  <c r="R87" i="3" s="1"/>
  <c r="N58" i="3"/>
  <c r="R58" i="3" s="1"/>
  <c r="P63" i="3"/>
  <c r="T63" i="3" s="1"/>
  <c r="O63" i="3"/>
  <c r="S63" i="3" s="1"/>
  <c r="P24" i="3"/>
  <c r="T24" i="3" s="1"/>
  <c r="O24" i="3"/>
  <c r="S24" i="3" s="1"/>
  <c r="M67" i="3"/>
  <c r="Q67" i="3" s="1"/>
  <c r="N91" i="3"/>
  <c r="R91" i="3" s="1"/>
  <c r="M49" i="3"/>
  <c r="Q49" i="3" s="1"/>
  <c r="M71" i="3"/>
  <c r="Q71" i="3" s="1"/>
  <c r="M64" i="3"/>
  <c r="Q64" i="3" s="1"/>
  <c r="N43" i="3"/>
  <c r="R43" i="3" s="1"/>
  <c r="O73" i="3"/>
  <c r="S73" i="3" s="1"/>
  <c r="P73" i="3"/>
  <c r="T73" i="3" s="1"/>
  <c r="T2" i="2"/>
  <c r="Q3" i="13" s="1"/>
  <c r="V2" i="2"/>
  <c r="H3" i="13" s="1"/>
  <c r="F9" i="3" l="1"/>
  <c r="G9" i="3" s="1"/>
  <c r="H9" i="3" s="1"/>
  <c r="F19" i="3"/>
  <c r="G19" i="3" s="1"/>
  <c r="H19" i="3" s="1"/>
  <c r="F20" i="3"/>
  <c r="G20" i="3" s="1"/>
  <c r="H20" i="3" s="1"/>
  <c r="F18" i="3"/>
  <c r="G18" i="3" s="1"/>
  <c r="H18" i="3" s="1"/>
  <c r="F13" i="3"/>
  <c r="G13" i="3" s="1"/>
  <c r="H13" i="3" s="1"/>
  <c r="F8" i="3"/>
  <c r="G8" i="3" s="1"/>
  <c r="H8" i="3" s="1"/>
  <c r="F16" i="3"/>
  <c r="G16" i="3" s="1"/>
  <c r="H16" i="3" s="1"/>
  <c r="F15" i="3"/>
  <c r="G15" i="3" s="1"/>
  <c r="H15" i="3" s="1"/>
  <c r="F12" i="3"/>
  <c r="G12" i="3" s="1"/>
  <c r="H12" i="3" s="1"/>
  <c r="F6" i="3"/>
  <c r="G6" i="3" s="1"/>
  <c r="H6" i="3" s="1"/>
  <c r="F11" i="3"/>
  <c r="G11" i="3" s="1"/>
  <c r="H11" i="3" s="1"/>
  <c r="F14" i="3"/>
  <c r="G14" i="3" s="1"/>
  <c r="H14" i="3" s="1"/>
  <c r="F10" i="3"/>
  <c r="G10" i="3" s="1"/>
  <c r="H10" i="3" s="1"/>
  <c r="F7" i="3"/>
  <c r="G7" i="3" s="1"/>
  <c r="H7" i="3" s="1"/>
  <c r="F17" i="3"/>
  <c r="G17" i="3" s="1"/>
  <c r="H17" i="3" s="1"/>
  <c r="F52" i="3"/>
  <c r="G52" i="3" s="1"/>
  <c r="H52" i="3" s="1"/>
  <c r="F28" i="3"/>
  <c r="G28" i="3" s="1"/>
  <c r="H28" i="3" s="1"/>
  <c r="F34" i="3"/>
  <c r="G34" i="3" s="1"/>
  <c r="H34" i="3" s="1"/>
  <c r="F45" i="3"/>
  <c r="G45" i="3" s="1"/>
  <c r="H45" i="3" s="1"/>
  <c r="F64" i="3"/>
  <c r="G64" i="3" s="1"/>
  <c r="H64" i="3" s="1"/>
  <c r="F55" i="3"/>
  <c r="G55" i="3" s="1"/>
  <c r="H55" i="3" s="1"/>
  <c r="F40" i="3"/>
  <c r="G40" i="3" s="1"/>
  <c r="H40" i="3" s="1"/>
  <c r="F87" i="3"/>
  <c r="G87" i="3" s="1"/>
  <c r="H87" i="3" s="1"/>
  <c r="F91" i="3"/>
  <c r="G91" i="3" s="1"/>
  <c r="H91" i="3" s="1"/>
  <c r="F97" i="3"/>
  <c r="G97" i="3" s="1"/>
  <c r="H97" i="3" s="1"/>
  <c r="F94" i="3"/>
  <c r="G94" i="3" s="1"/>
  <c r="H94" i="3" s="1"/>
  <c r="F46" i="3"/>
  <c r="G46" i="3" s="1"/>
  <c r="H46" i="3" s="1"/>
  <c r="F39" i="3"/>
  <c r="G39" i="3" s="1"/>
  <c r="H39" i="3" s="1"/>
  <c r="F58" i="3"/>
  <c r="G58" i="3" s="1"/>
  <c r="H58" i="3" s="1"/>
  <c r="F37" i="3"/>
  <c r="G37" i="3" s="1"/>
  <c r="H37" i="3" s="1"/>
  <c r="F70" i="3"/>
  <c r="G70" i="3" s="1"/>
  <c r="H70" i="3" s="1"/>
  <c r="F57" i="3"/>
  <c r="G57" i="3" s="1"/>
  <c r="H57" i="3" s="1"/>
  <c r="F76" i="3"/>
  <c r="G76" i="3" s="1"/>
  <c r="H76" i="3" s="1"/>
  <c r="F65" i="3"/>
  <c r="G65" i="3" s="1"/>
  <c r="H65" i="3" s="1"/>
  <c r="F77" i="3"/>
  <c r="G77" i="3" s="1"/>
  <c r="H77" i="3" s="1"/>
  <c r="F83" i="3"/>
  <c r="G83" i="3" s="1"/>
  <c r="H83" i="3" s="1"/>
  <c r="F62" i="3"/>
  <c r="G62" i="3" s="1"/>
  <c r="H62" i="3" s="1"/>
  <c r="F67" i="3"/>
  <c r="G67" i="3" s="1"/>
  <c r="H67" i="3" s="1"/>
  <c r="F44" i="3"/>
  <c r="G44" i="3" s="1"/>
  <c r="H44" i="3" s="1"/>
  <c r="F89" i="3"/>
  <c r="G89" i="3" s="1"/>
  <c r="H89" i="3" s="1"/>
  <c r="F33" i="3"/>
  <c r="G33" i="3" s="1"/>
  <c r="H33" i="3" s="1"/>
  <c r="F21" i="3"/>
  <c r="G21" i="3" s="1"/>
  <c r="H21" i="3" s="1"/>
  <c r="F82" i="3"/>
  <c r="G82" i="3" s="1"/>
  <c r="H82" i="3" s="1"/>
  <c r="F73" i="3"/>
  <c r="G73" i="3" s="1"/>
  <c r="H73" i="3" s="1"/>
  <c r="F36" i="3"/>
  <c r="G36" i="3" s="1"/>
  <c r="H36" i="3" s="1"/>
  <c r="F30" i="3"/>
  <c r="G30" i="3" s="1"/>
  <c r="H30" i="3" s="1"/>
  <c r="F68" i="3"/>
  <c r="G68" i="3" s="1"/>
  <c r="H68" i="3" s="1"/>
  <c r="F48" i="3"/>
  <c r="G48" i="3" s="1"/>
  <c r="H48" i="3" s="1"/>
  <c r="F59" i="3"/>
  <c r="G59" i="3" s="1"/>
  <c r="H59" i="3" s="1"/>
  <c r="F72" i="3"/>
  <c r="G72" i="3" s="1"/>
  <c r="H72" i="3" s="1"/>
  <c r="F31" i="3"/>
  <c r="G31" i="3" s="1"/>
  <c r="H31" i="3" s="1"/>
  <c r="F47" i="3"/>
  <c r="G47" i="3" s="1"/>
  <c r="H47" i="3" s="1"/>
  <c r="F51" i="3"/>
  <c r="G51" i="3" s="1"/>
  <c r="H51" i="3" s="1"/>
  <c r="F61" i="3"/>
  <c r="G61" i="3" s="1"/>
  <c r="H61" i="3" s="1"/>
  <c r="F93" i="3"/>
  <c r="G93" i="3" s="1"/>
  <c r="H93" i="3" s="1"/>
  <c r="F50" i="3"/>
  <c r="G50" i="3" s="1"/>
  <c r="H50" i="3" s="1"/>
  <c r="F66" i="3"/>
  <c r="G66" i="3" s="1"/>
  <c r="H66" i="3" s="1"/>
  <c r="F53" i="3"/>
  <c r="G53" i="3" s="1"/>
  <c r="H53" i="3" s="1"/>
  <c r="F96" i="3"/>
  <c r="G96" i="3" s="1"/>
  <c r="H96" i="3" s="1"/>
  <c r="F60" i="3"/>
  <c r="G60" i="3" s="1"/>
  <c r="H60" i="3" s="1"/>
  <c r="F78" i="3"/>
  <c r="G78" i="3" s="1"/>
  <c r="H78" i="3" s="1"/>
  <c r="F43" i="3"/>
  <c r="G43" i="3" s="1"/>
  <c r="H43" i="3" s="1"/>
  <c r="F80" i="3"/>
  <c r="G80" i="3" s="1"/>
  <c r="H80" i="3" s="1"/>
  <c r="F92" i="3"/>
  <c r="G92" i="3" s="1"/>
  <c r="H92" i="3" s="1"/>
  <c r="F75" i="3"/>
  <c r="G75" i="3" s="1"/>
  <c r="H75" i="3" s="1"/>
  <c r="F42" i="3"/>
  <c r="G42" i="3" s="1"/>
  <c r="H42" i="3" s="1"/>
  <c r="F71" i="3"/>
  <c r="G71" i="3" s="1"/>
  <c r="H71" i="3" s="1"/>
  <c r="F86" i="3"/>
  <c r="G86" i="3" s="1"/>
  <c r="H86" i="3" s="1"/>
  <c r="F95" i="3"/>
  <c r="G95" i="3" s="1"/>
  <c r="H95" i="3" s="1"/>
  <c r="F49" i="3"/>
  <c r="G49" i="3" s="1"/>
  <c r="H49" i="3" s="1"/>
  <c r="F69" i="3"/>
  <c r="G69" i="3" s="1"/>
  <c r="H69" i="3" s="1"/>
  <c r="F74" i="3"/>
  <c r="G74" i="3" s="1"/>
  <c r="H74" i="3" s="1"/>
  <c r="F27" i="3"/>
  <c r="G27" i="3" s="1"/>
  <c r="H27" i="3" s="1"/>
  <c r="F38" i="3"/>
  <c r="G38" i="3" s="1"/>
  <c r="H38" i="3" s="1"/>
  <c r="F90" i="3"/>
  <c r="G90" i="3" s="1"/>
  <c r="H90" i="3" s="1"/>
  <c r="F63" i="3"/>
  <c r="G63" i="3" s="1"/>
  <c r="H63" i="3" s="1"/>
  <c r="F85" i="3"/>
  <c r="G85" i="3" s="1"/>
  <c r="H85" i="3" s="1"/>
  <c r="F56" i="3"/>
  <c r="G56" i="3" s="1"/>
  <c r="H56" i="3" s="1"/>
  <c r="F81" i="3"/>
  <c r="G81" i="3" s="1"/>
  <c r="H81" i="3" s="1"/>
  <c r="F88" i="3"/>
  <c r="G88" i="3" s="1"/>
  <c r="H88" i="3" s="1"/>
  <c r="F29" i="3"/>
  <c r="G29" i="3" s="1"/>
  <c r="H29" i="3" s="1"/>
  <c r="F54" i="3"/>
  <c r="G54" i="3" s="1"/>
  <c r="H54" i="3" s="1"/>
  <c r="F35" i="3"/>
  <c r="G35" i="3" s="1"/>
  <c r="H35" i="3" s="1"/>
  <c r="F84" i="3"/>
  <c r="G84" i="3" s="1"/>
  <c r="H84" i="3" s="1"/>
  <c r="F22" i="3"/>
  <c r="G22" i="3" s="1"/>
  <c r="H22" i="3" s="1"/>
  <c r="F32" i="3"/>
  <c r="G32" i="3" s="1"/>
  <c r="H32" i="3" s="1"/>
  <c r="F23" i="3"/>
  <c r="G23" i="3" s="1"/>
  <c r="H23" i="3" s="1"/>
  <c r="F26" i="3"/>
  <c r="G26" i="3" s="1"/>
  <c r="H26" i="3" s="1"/>
  <c r="F41" i="3"/>
  <c r="G41" i="3" s="1"/>
  <c r="H41" i="3" s="1"/>
  <c r="F79" i="3"/>
  <c r="G79" i="3" s="1"/>
  <c r="H79" i="3" s="1"/>
  <c r="F25" i="3"/>
  <c r="G25" i="3" s="1"/>
  <c r="H25" i="3" s="1"/>
  <c r="F24" i="3" l="1"/>
  <c r="G24" i="3" s="1"/>
  <c r="H24" i="3" s="1"/>
  <c r="F4" i="3"/>
  <c r="G4" i="3" s="1"/>
  <c r="H4" i="3" s="1"/>
</calcChain>
</file>

<file path=xl/sharedStrings.xml><?xml version="1.0" encoding="utf-8"?>
<sst xmlns="http://schemas.openxmlformats.org/spreadsheetml/2006/main" count="1987" uniqueCount="502">
  <si>
    <t>F1-022</t>
  </si>
  <si>
    <t>MÃ NQ</t>
  </si>
  <si>
    <t>Bánh mì hamburger</t>
  </si>
  <si>
    <t>Bánh Mì Hotdog</t>
  </si>
  <si>
    <t>Bánh mì pita</t>
  </si>
  <si>
    <t xml:space="preserve">Bánh mì sandwich </t>
  </si>
  <si>
    <t xml:space="preserve">Hộp Giấy Sanwich </t>
  </si>
  <si>
    <t>Ly giấy in hình logo 1p30s</t>
  </si>
  <si>
    <t>Túi Giấy Hotdog</t>
  </si>
  <si>
    <t>NHƯỢNG QUYỀN</t>
  </si>
  <si>
    <t>Tương Cà (g)</t>
  </si>
  <si>
    <t>Mayonaise (g)</t>
  </si>
  <si>
    <t>Hộp / Túi / Giấy</t>
  </si>
  <si>
    <t>Bao</t>
  </si>
  <si>
    <t>Ly</t>
  </si>
  <si>
    <t>Ống Hút</t>
  </si>
  <si>
    <t>Pate (g)</t>
  </si>
  <si>
    <t>Chà bông (g)</t>
  </si>
  <si>
    <t>Xúc xích (cây)</t>
  </si>
  <si>
    <t>Sữa bột (25kg/bịt)</t>
  </si>
  <si>
    <t>Trà Đen (1kg/bịt)</t>
  </si>
  <si>
    <t>Bột Kem Sữa Cacao (0.5kg/1bịt)</t>
  </si>
  <si>
    <t>Ống hút (250 cây/bao)</t>
  </si>
  <si>
    <t>Đường (12kg/bao)</t>
  </si>
  <si>
    <t>Pate gan (g)</t>
  </si>
  <si>
    <t>Chà bông xốp (g)</t>
  </si>
  <si>
    <t>Sữa bột (kg)</t>
  </si>
  <si>
    <t>Trà Đen (kg)</t>
  </si>
  <si>
    <t>Bột Kem Sữa Cacao (kg)</t>
  </si>
  <si>
    <t>Nước Ngọt pesi (ly)</t>
  </si>
  <si>
    <t>Đường (12kg/bao) (kg)</t>
  </si>
  <si>
    <t>Jambong (bịch)</t>
  </si>
  <si>
    <t>Nước Ngọt pesi 1.5 lit (chai)</t>
  </si>
  <si>
    <t>Hộp / Giấy Pita - Hamburger</t>
  </si>
  <si>
    <t>Thịt hamburger (90m/thùng )</t>
  </si>
  <si>
    <t>Pate gan (0.5 kg / bịch)</t>
  </si>
  <si>
    <t>Chà bông xốp ( 1kg/bịch)</t>
  </si>
  <si>
    <t>Jam Bon đặt biệt ( 250g/bịch)</t>
  </si>
  <si>
    <t>Sữa bột 25kg/bịch)</t>
  </si>
  <si>
    <t>Trà Đen (1kg/ bich)</t>
  </si>
  <si>
    <t>Bột Kem Sữa Cacao (500g / túi)</t>
  </si>
  <si>
    <t>Nước Ngọt pesi 1.5 lit / chai (12 chai/ thùng)</t>
  </si>
  <si>
    <t>Đường trắng (12kg/bao)</t>
  </si>
  <si>
    <t>Tương cà lớn (2Lit/Bình)</t>
  </si>
  <si>
    <t>Tương Mayonaise ( 1kg/bịch)</t>
  </si>
  <si>
    <t>Tương mù tạc (0.5kg/ bịch)</t>
  </si>
  <si>
    <t>Tương ớt Cholimex (270gram/chai)</t>
  </si>
  <si>
    <t>Dầu ăn ( 2 lit/bình )</t>
  </si>
  <si>
    <t>Giấy gói bánh mì ( 500 tờ/xấp)</t>
  </si>
  <si>
    <t>Hộp Giấy Buger Gà (150 cái/ thùng)</t>
  </si>
  <si>
    <t>Hộp Giấy Pita Gà (100 cái/ xấp)</t>
  </si>
  <si>
    <t>Hộp Giấy Sanwich (100 cái/ xấp)</t>
  </si>
  <si>
    <t>Túi Giấy Đựng Pita (100 cái/ xấp)</t>
  </si>
  <si>
    <t>Túi Giấy Hotdog (100 cái/ xấp)</t>
  </si>
  <si>
    <t>Túi dựng ly 1p30s  ( 192 cái / kg)</t>
  </si>
  <si>
    <t>Duc Hoa</t>
  </si>
  <si>
    <t>Hau Nghia</t>
  </si>
  <si>
    <t>Can Giuoc</t>
  </si>
  <si>
    <t>Tan An</t>
  </si>
  <si>
    <t>Vinh Kim</t>
  </si>
  <si>
    <t>Hung Vuong</t>
  </si>
  <si>
    <t>Nguyen Khuyen</t>
  </si>
  <si>
    <t>Chau Doc</t>
  </si>
  <si>
    <t>Go Dau</t>
  </si>
  <si>
    <t>Binh Da</t>
  </si>
  <si>
    <t>Long Thanh</t>
  </si>
  <si>
    <t>Binh Chuan</t>
  </si>
  <si>
    <t>An Binh</t>
  </si>
  <si>
    <t>Vung Tau</t>
  </si>
  <si>
    <t>Bac Lieu</t>
  </si>
  <si>
    <t>màng ép</t>
  </si>
  <si>
    <t>Màng ép</t>
  </si>
  <si>
    <t>Dầu ăn (lít)</t>
  </si>
  <si>
    <t xml:space="preserve">Dầu ăn </t>
  </si>
  <si>
    <t>Thịt / Gà / Tôm/BTH (miếng)</t>
  </si>
  <si>
    <t>Bao Tay xốp</t>
  </si>
  <si>
    <t>TỔNG HỢP TÌNH HÌNH NHẬP NVL CỦA CÁC NQ</t>
  </si>
  <si>
    <t>STT</t>
  </si>
  <si>
    <t>Tên NQ</t>
  </si>
  <si>
    <t>Tình hình nhập NVL</t>
  </si>
  <si>
    <t>Hướng xử lý</t>
  </si>
  <si>
    <t xml:space="preserve"> - Pepsi nhập NCC tại Quy Nhơn</t>
  </si>
  <si>
    <t xml:space="preserve"> - Sữa bột, đường không đặt do còn tồn từ tháng trước.</t>
  </si>
  <si>
    <t>Gửi thông báo nhắc nhở. Còn tiếp tục sẽ phạt</t>
  </si>
  <si>
    <t xml:space="preserve"> - Dầu ăn, tương cà không nhập</t>
  </si>
  <si>
    <t xml:space="preserve"> - 1 số NVL  không nhập do còn tồn từ tháng trước</t>
  </si>
  <si>
    <t>Các CH sử dụng hết hàng tồn để nghỉ hè nên 1 số NVL không đặt.</t>
  </si>
  <si>
    <t xml:space="preserve"> - Tương cà chỉ nhập 19%, tương mayonaise nhập 20%, dầu ăn nhập 40%</t>
  </si>
  <si>
    <t>Nhắc nhở NQ nhập đầy đủ từ công ty</t>
  </si>
  <si>
    <t xml:space="preserve"> - Đường, pepsi không nhập</t>
  </si>
  <si>
    <t xml:space="preserve"> - Dầu ăn chỉ đặt 24%</t>
  </si>
  <si>
    <t>CH nhập NVL đầy đủ đúng SOP</t>
  </si>
  <si>
    <t>1 số NVL không nhập do còn tồn từ tháng trước</t>
  </si>
  <si>
    <t>Tuyết</t>
  </si>
  <si>
    <t>Quản lý</t>
  </si>
  <si>
    <t>Mã NQ</t>
  </si>
  <si>
    <t>F1-115</t>
  </si>
  <si>
    <t>Cường</t>
  </si>
  <si>
    <t>Tiệm ăn sáng NQ Phước Kiểng 1 (Trạm CH)</t>
  </si>
  <si>
    <t>F6-260</t>
  </si>
  <si>
    <t>Tiệm ăn sáng NQ Cô Giang 1 (Trạm SVH)</t>
  </si>
  <si>
    <t>F3-041</t>
  </si>
  <si>
    <t>Tiệm ăn sáng NQ Đinh Tiên Hoàng (Trạm SVH)</t>
  </si>
  <si>
    <t>F5-096</t>
  </si>
  <si>
    <t>Tiệm ăn sáng NQ Đồng Nai (Trạm SVH)</t>
  </si>
  <si>
    <t>F7-235</t>
  </si>
  <si>
    <t>Tiệm ăn sáng NQ Hóc Môn (Trạm Tân Phú)</t>
  </si>
  <si>
    <t>F1-184</t>
  </si>
  <si>
    <t>Tiệm ăn sáng NQ Huỳnh Tấn Phát (Trạm Chánh Hưng)</t>
  </si>
  <si>
    <t>F2-036</t>
  </si>
  <si>
    <t>Tiệm ăn sáng NQ Huỳnh Tịnh Của (Trạm SVH)</t>
  </si>
  <si>
    <t>F6-071</t>
  </si>
  <si>
    <t>Tiệm ăn sáng NQ Kỳ Đồng (Trạm SVH)</t>
  </si>
  <si>
    <t>F1-215</t>
  </si>
  <si>
    <t>Tiệm ăn sáng NQ Lâm Văn Bền (Trạm Chánh Hưng)</t>
  </si>
  <si>
    <t>F1-191</t>
  </si>
  <si>
    <t>Tiệm ăn sáng NQ Lê Thánh Tôn (Trạm Chánh Hưng)</t>
  </si>
  <si>
    <t>F6-145</t>
  </si>
  <si>
    <t>Tiệm ăn sáng NQ Lương Đình Của (Trạm Thủ Đức)</t>
  </si>
  <si>
    <t>F5-092</t>
  </si>
  <si>
    <t>Tiệm ăn sáng NQ Nguyễn ảnh Thủ (Trạm GV)</t>
  </si>
  <si>
    <t>F2-146</t>
  </si>
  <si>
    <t>Tiệm ăn sáng NQ Lê Trọng Tấn (Trạm Tân Phú)</t>
  </si>
  <si>
    <t>F3-192</t>
  </si>
  <si>
    <t>Tiệm ăn sáng NQ Nguyễn Đình Chiểu (Trạm SVH)</t>
  </si>
  <si>
    <t>F6-082</t>
  </si>
  <si>
    <t>Tiệm ăn sáng NQ Nguyễn Duy Trinh (Trạm Thủ Đức)</t>
  </si>
  <si>
    <t>Tiệm ăn sáng NQ Nguyễn Khoái (Trạm CH)</t>
  </si>
  <si>
    <t>F6-258</t>
  </si>
  <si>
    <t>Tiệm ăn sáng NQ Nguyễn Thị Định (Trạm Thủ Đức)</t>
  </si>
  <si>
    <t>F3-273</t>
  </si>
  <si>
    <t>Tiệm ăn sáng NQ Lý Thái Tổ (Trạm SVH)</t>
  </si>
  <si>
    <t>F2-214</t>
  </si>
  <si>
    <t>Tiệm ăn sáng NQ Nhà Bè (Trạm Chánh Hưng)</t>
  </si>
  <si>
    <t>F3-180</t>
  </si>
  <si>
    <t>Tiệm ăn sáng NQ Phạm Đăng Giảng (Trạm Tân Phú)</t>
  </si>
  <si>
    <t>F1-176</t>
  </si>
  <si>
    <t>Tiệm ăn sáng NQ Phạm Hữu Lầu (Trạm Chánh Hưng)</t>
  </si>
  <si>
    <t>F3-278</t>
  </si>
  <si>
    <t>Tiệm ăn sáng NQ Phan Văn Trị ( Trạm Chánh Hưng)</t>
  </si>
  <si>
    <t>F5-131</t>
  </si>
  <si>
    <t>Tiệm ăn sáng NQ Phú Xuân (Trạm CH)</t>
  </si>
  <si>
    <t>F6-148</t>
  </si>
  <si>
    <t>Tiệm ăn sáng NQ Sông Giồng (Trạm Thủ Đức)</t>
  </si>
  <si>
    <t>F1-209</t>
  </si>
  <si>
    <t>Tiệm ăn sáng NQ Tôn Thất Thuyết (Trạm Chánh Hưng)</t>
  </si>
  <si>
    <t>F5-220</t>
  </si>
  <si>
    <t>Tiệm ăn sáng NQ Trung Mỹ Tây (Trạm Tân Phú)</t>
  </si>
  <si>
    <t>F6-204</t>
  </si>
  <si>
    <t>Tiệm ăn sáng NQ Trương Văn Bang (Trạm Thủ Đức)</t>
  </si>
  <si>
    <t>F1-076</t>
  </si>
  <si>
    <t>Tiệm ăn sáng NQ Vĩnh Khánh (Trạm CH)</t>
  </si>
  <si>
    <t>F3-159</t>
  </si>
  <si>
    <t>Tiệm ăn sáng NQ Vĩnh Lộc KDC (Trạm Bình Tân)</t>
  </si>
  <si>
    <t>F2-144</t>
  </si>
  <si>
    <t>Tiệm ăn sáng NQ Vĩnh Viễn (Trạm SVH)</t>
  </si>
  <si>
    <t>F1-021</t>
  </si>
  <si>
    <t>Tiệm ăn sáng NQ Lê Văn Lương (Trạm CH)</t>
  </si>
  <si>
    <t>F3-097</t>
  </si>
  <si>
    <t>Tiệm ăn sáng NQ An Lạc (Trạm Bình Tân)</t>
  </si>
  <si>
    <t>F3-210</t>
  </si>
  <si>
    <t>Tiệm ăn sáng NQ An Phú Tây (Trạm Bình Tân)</t>
  </si>
  <si>
    <t>F2-236</t>
  </si>
  <si>
    <t>Tiệm ăn sáng NQ Bắc Hải (Trạm SVH)</t>
  </si>
  <si>
    <t>F3-029</t>
  </si>
  <si>
    <t>Tiệm ăn sáng NQ Bành Văn Trân (Trạm Tân Phú)</t>
  </si>
  <si>
    <t>F5-037</t>
  </si>
  <si>
    <t>Tiệm ăn sáng NQ Bàu Cát 3 (Trạm Tân Phú)</t>
  </si>
  <si>
    <t>F5-039</t>
  </si>
  <si>
    <t>Tiệm ăn sáng NQ Đặng Văn Ngữ (Trạm SVH)</t>
  </si>
  <si>
    <t>F3-224</t>
  </si>
  <si>
    <t>Tiệm ăn sáng NQ Đất Thánh (Trạm SVH)</t>
  </si>
  <si>
    <t>F5-040</t>
  </si>
  <si>
    <t>Tiệm ăn sáng NQ Độc Lập (Trạm Tân Phú)</t>
  </si>
  <si>
    <t>F7-135</t>
  </si>
  <si>
    <t>Tiệm ăn sáng NQ Hiệp Tân (Trạm Tân Phú)</t>
  </si>
  <si>
    <t>F3-150</t>
  </si>
  <si>
    <t>Tiệm ăn sáng NQ Hồ Văn Long (Trạm Bình Tân)</t>
  </si>
  <si>
    <t>F3-254</t>
  </si>
  <si>
    <t>Tiệm ăn sáng NQ Hoàng Hoa Thám (Trạm Tân Phú)</t>
  </si>
  <si>
    <t>F5-126</t>
  </si>
  <si>
    <t>Tiệm ăn sáng NQ Hoàng Việt (Trạm SVH)</t>
  </si>
  <si>
    <t>F3-255</t>
  </si>
  <si>
    <t>Tiệm ăn sáng NQ Âu Cơ - Tân Phú (Trạm Tân Phú)</t>
  </si>
  <si>
    <t>F5-109</t>
  </si>
  <si>
    <t>Tiệm ăn sáng NQ Huỳnh Văn Chính (Trạm Tân Phú)</t>
  </si>
  <si>
    <t>F3-203</t>
  </si>
  <si>
    <t>Tiệm ăn sáng NQ Lê Tấn Bê (Trạm Bình Tân)</t>
  </si>
  <si>
    <t>F3-157</t>
  </si>
  <si>
    <t>Tiệm ăn sáng NQ Nguyễn Cửu Phú (Trạm Bình Tân)</t>
  </si>
  <si>
    <t>F6-049</t>
  </si>
  <si>
    <t>Tiệm ăn sáng NQ Nguyễn Kiệm (Trạm SVH)</t>
  </si>
  <si>
    <t>F5-042</t>
  </si>
  <si>
    <t>Tiệm ăn sáng NQ Nguyễn Trọng Tuyển (Trạm SVH)</t>
  </si>
  <si>
    <t>F3-261</t>
  </si>
  <si>
    <t>Tiệm ăn sáng NQ Phùng Tá Chu ( Trạm Bình Tân)</t>
  </si>
  <si>
    <t>F3-200</t>
  </si>
  <si>
    <t>Tiệm ăn sáng NQ Tân Kiên (Trạm Bình Tân)</t>
  </si>
  <si>
    <t>F7-119</t>
  </si>
  <si>
    <t>Tiệm ăn sáng NQ Tân Quý (Trạm Tân Phú)</t>
  </si>
  <si>
    <t>F7-253</t>
  </si>
  <si>
    <t>Tiệm ăn sáng NQ Tân Thắng (Trạm Tân Phú)</t>
  </si>
  <si>
    <t>F3-228</t>
  </si>
  <si>
    <t>Tiệm ăn sáng NQ Tân Túc 1 (Trạm Bình Tân)</t>
  </si>
  <si>
    <t>F5-053</t>
  </si>
  <si>
    <t>Tiệm ăn sáng NQ Tây Thạnh (Trạm Tân Phú)</t>
  </si>
  <si>
    <t>F3-030</t>
  </si>
  <si>
    <t>Tiệm ăn sáng NQ Thạch Lam (Trạm Tân Phú)</t>
  </si>
  <si>
    <t>F3-112</t>
  </si>
  <si>
    <t>Tiệm ăn sáng NQ Thạnh Lộc (Trạm GV)</t>
  </si>
  <si>
    <t>F5-103</t>
  </si>
  <si>
    <t>Tiệm ăn sáng NQ Thích Quảng Đức (Trạm SVH)</t>
  </si>
  <si>
    <t>F5-101</t>
  </si>
  <si>
    <t>Tiệm ăn sáng NQ Thống Nhất (Trạm GV)</t>
  </si>
  <si>
    <t>F3-028</t>
  </si>
  <si>
    <t>Tiệm ăn sáng NQ Trường Chinh (Trạm Tân Phú)</t>
  </si>
  <si>
    <t>F6-163</t>
  </si>
  <si>
    <t>Tiệm ăn sáng NQ Vĩnh Lộc B (Trạm Bình Tân)</t>
  </si>
  <si>
    <t>F2-283</t>
  </si>
  <si>
    <t>Thế</t>
  </si>
  <si>
    <t>Tiệm ăn sáng NQ Phạm Đình Hổ ( Trạm Bình Tân)</t>
  </si>
  <si>
    <t>F3-281</t>
  </si>
  <si>
    <t>Tiệm ăn sáng NQ Lý Chiêu Hoàng ( Trạm Bình Tân)</t>
  </si>
  <si>
    <t>F5-141</t>
  </si>
  <si>
    <t>Tiệm ăn sáng NQ Bình Hưng (Trạm Chánh Hưng)</t>
  </si>
  <si>
    <t>F5-125</t>
  </si>
  <si>
    <t>Tiệm ăn sáng NQ Bùi Minh Trực (Trạm CH)</t>
  </si>
  <si>
    <t>F5-102</t>
  </si>
  <si>
    <t>Tiệm ăn sáng NQ Chu Văn An (Trạm SVH)</t>
  </si>
  <si>
    <t>F6-079</t>
  </si>
  <si>
    <t>Tiệm ăn sáng NQ Đa Phước (Trạm CH)</t>
  </si>
  <si>
    <t>F2-020</t>
  </si>
  <si>
    <t>Tiệm ăn sáng NQ Dương Đình Nghệ (Trạm SVH)</t>
  </si>
  <si>
    <t>F6-282</t>
  </si>
  <si>
    <t>Tiệm ăn sáng NQ Hàng Xanh ( Trạm Sư Vạn Hạnh )</t>
  </si>
  <si>
    <t>F6-110</t>
  </si>
  <si>
    <t>Tiệm ăn sáng NQ Hoa Lư (Trạm Thủ Đức)</t>
  </si>
  <si>
    <t>F3-227</t>
  </si>
  <si>
    <t>Tiệm ăn sáng NQ Hưng Phú (Trạm Chánh Hưng)</t>
  </si>
  <si>
    <t>F3-044</t>
  </si>
  <si>
    <t>Tiệm ăn sáng NQ Hưng Việt (Trạm Bình Tân)</t>
  </si>
  <si>
    <t>F3-026</t>
  </si>
  <si>
    <t>Tiệm ăn sáng NQ Ký Hòa (Trạm SVH)</t>
  </si>
  <si>
    <t>F3-291</t>
  </si>
  <si>
    <t>Tiệm ăn sáng NQ Lê Văn Chí (Trạm Thủ Đức)</t>
  </si>
  <si>
    <t>F6-104</t>
  </si>
  <si>
    <t>Tiệm ăn sáng NQ Lê Văn Việt (Trạm Thủ Đức)</t>
  </si>
  <si>
    <t>F5-130</t>
  </si>
  <si>
    <t>Tiệm ăn sáng NQ Linh Tây (Trạm Thủ Đức)</t>
  </si>
  <si>
    <t>F5-140</t>
  </si>
  <si>
    <t>Tiệm ăn sáng NQ Long Bình (Trạm Thủ Đức)</t>
  </si>
  <si>
    <t>F5-120</t>
  </si>
  <si>
    <t>Tiệm ăn sáng NQ Lý Tế Xuyên (Trạm Thủ Đức)</t>
  </si>
  <si>
    <t>F7-165</t>
  </si>
  <si>
    <t>Tiệm ăn sáng NQ Mễ Cốc (Trạm Bình Tân)</t>
  </si>
  <si>
    <t>F2-019</t>
  </si>
  <si>
    <t>Tiệm ăn sáng NQ Minh Phụng (Trạm SVH)</t>
  </si>
  <si>
    <t>F5-117</t>
  </si>
  <si>
    <t>Tiệm ăn sáng NQ Ngô Tất Tố (Trạm SVH)</t>
  </si>
  <si>
    <t>F2-023</t>
  </si>
  <si>
    <t>Tiệm ăn sáng NQ Nguyễn Duy Dương (Trạm SVH)</t>
  </si>
  <si>
    <t>F3-027</t>
  </si>
  <si>
    <t>Tiệm ăn sáng NQ Nguyễn Trãi (Trạm SVH)</t>
  </si>
  <si>
    <t>F5-138</t>
  </si>
  <si>
    <t>Tiệm ăn sáng NQ Phong Phú (Trạm Thủ Đức)</t>
  </si>
  <si>
    <t>F7-106</t>
  </si>
  <si>
    <t>Tiệm ăn sáng NQ Phú Châu (Trạm Thủ Đức)</t>
  </si>
  <si>
    <t>F5-134</t>
  </si>
  <si>
    <t>Tiệm ăn sáng NQ Thái Văn Lung (Trạm Thủ Đức)</t>
  </si>
  <si>
    <t>F2-058</t>
  </si>
  <si>
    <t>Tiệm ăn sáng NQ Tôn Thất Hiệp (Trạm SVH)</t>
  </si>
  <si>
    <t>F5-133</t>
  </si>
  <si>
    <t>Tiệm ăn sáng NQ Trường Thạnh (Trạm Thủ Đức)</t>
  </si>
  <si>
    <t>F5-105</t>
  </si>
  <si>
    <t>Tiệm ăn sáng NQ Trường Thọ (Trạm Thủ Đức)</t>
  </si>
  <si>
    <t>F6-077</t>
  </si>
  <si>
    <t>Tiệm ăn sáng NQ Vạn Kiếp (Trạm SVH)</t>
  </si>
  <si>
    <t>F3-122</t>
  </si>
  <si>
    <t>Tiệm ăn sáng NQ Lã Xuân Oai (Trạm Thủ Đức)</t>
  </si>
  <si>
    <t>F3-289</t>
  </si>
  <si>
    <t>Tiệm ăn sáng NQ Lê Thị Hoa (Trạm Thủ Đức)</t>
  </si>
  <si>
    <t>F5-187</t>
  </si>
  <si>
    <t>Tiệm ăn sáng NQ Lê Đại Hành (Trạm SVH)</t>
  </si>
  <si>
    <t>Nhãn Hàng</t>
  </si>
  <si>
    <t>Bánh mì hamburger (4 cái / bịch)</t>
  </si>
  <si>
    <t>Bánh Mì Hotdog ( 4 cái/bịch)</t>
  </si>
  <si>
    <t>Bánh mì pita (10 cái/bịch)</t>
  </si>
  <si>
    <t>Bánh mì sandwich (24m/bịch)</t>
  </si>
  <si>
    <t>Khăn giấy (100 tờ/ xấp)</t>
  </si>
  <si>
    <t>Ly giấy in logo 1p30s (1000 cái/thùng)</t>
  </si>
  <si>
    <t>Màng ép ly 1p30s ( 3600ly/ cuộn)</t>
  </si>
  <si>
    <t>Miếng thịt bò hỗn hợp (30 miếng/thùng)</t>
  </si>
  <si>
    <t>Miếng thịt burger gà (60 miếng/thùng)</t>
  </si>
  <si>
    <t>Miếng thịt burger Tôm (30 miếng/thùng)</t>
  </si>
  <si>
    <t>Túi dựng ly 1p30s (Bột sắn + Phụ Gia) ( 192 cái / kg)</t>
  </si>
  <si>
    <t>Xúc Xích ( 10 cây / 0.5kg)</t>
  </si>
  <si>
    <t>F3-286</t>
  </si>
  <si>
    <t>F3-290</t>
  </si>
  <si>
    <t>F5-127</t>
  </si>
  <si>
    <t>F5-128</t>
  </si>
  <si>
    <t>F5-132</t>
  </si>
  <si>
    <t>F5-147</t>
  </si>
  <si>
    <t>F5-186</t>
  </si>
  <si>
    <t>F5-193</t>
  </si>
  <si>
    <t>F5-207</t>
  </si>
  <si>
    <t>F5-223</t>
  </si>
  <si>
    <t>F5-284</t>
  </si>
  <si>
    <t>F7-121</t>
  </si>
  <si>
    <t>F7-164</t>
  </si>
  <si>
    <t>F7-166</t>
  </si>
  <si>
    <t>F7-169</t>
  </si>
  <si>
    <t>F7-173</t>
  </si>
  <si>
    <t>F7-179</t>
  </si>
  <si>
    <t>F7-202</t>
  </si>
  <si>
    <t>F7-218</t>
  </si>
  <si>
    <t>F7-225</t>
  </si>
  <si>
    <t>Cột tham chiếu</t>
  </si>
  <si>
    <t>Băng keo (10 cuộn / cây)</t>
  </si>
  <si>
    <t>Banner 4 Loại Bánh 20.000 ( mau moi 22.000)</t>
  </si>
  <si>
    <t>Bao tay xốp ( 1kg/ bịch)</t>
  </si>
  <si>
    <t>Bịt rác đen lớn (25Cai/KG)</t>
  </si>
  <si>
    <t>Bột chanh 1kg/tui</t>
  </si>
  <si>
    <t>Miếng thịt hamburger (90 miếng/thùng)</t>
  </si>
  <si>
    <t>Nắp ly nhựa phi 90 ( 50 cái/ bao)</t>
  </si>
  <si>
    <t>ống hút Giấy đầu nhọn (250 cây/ bao)</t>
  </si>
  <si>
    <t>Sốt Phô Mai (0.5kg/túi)</t>
  </si>
  <si>
    <t>Tạp Dề</t>
  </si>
  <si>
    <t>(trống)</t>
  </si>
  <si>
    <t>Muối Tiêu (  06 chai / lốc)</t>
  </si>
  <si>
    <t>Nón Ăn Sáng</t>
  </si>
  <si>
    <t>Hamburger Gà (60 miếng / thùng)</t>
  </si>
  <si>
    <t>Bột Kem Sữa Cacao  kg</t>
  </si>
  <si>
    <t>Tương cà lớn (2 lít/bình) (g)</t>
  </si>
  <si>
    <t>Jam Bon (miếng)</t>
  </si>
  <si>
    <t>CACAO (%) theo số bột cacao đã nhập</t>
  </si>
  <si>
    <t>PEPSI (%) theo chai nước ngọt đã nhập</t>
  </si>
  <si>
    <t>Hồng trà chanh (%) theo bột chanh đã nhập</t>
  </si>
  <si>
    <t>TRÀ SỮA (%) theo số bột sữa đã nhập</t>
  </si>
  <si>
    <t>Cách thức qui đổi</t>
  </si>
  <si>
    <t>Công thức qui đổi</t>
  </si>
  <si>
    <t>0.5 kg / bịch * 1000g</t>
  </si>
  <si>
    <t>1kg/bịch *1000g</t>
  </si>
  <si>
    <t>Qui cách nhập dữ liệu</t>
  </si>
  <si>
    <t>Theo kg</t>
  </si>
  <si>
    <t>kg * 1000g -&gt; số gam
250g/bịch -&gt; số gam chia 250 ra số bịch
1 bich làm được 16 bánh</t>
  </si>
  <si>
    <t>Bột chanh (1kg/túi)</t>
  </si>
  <si>
    <t>Như thông số nhập</t>
  </si>
  <si>
    <t>Theo chai</t>
  </si>
  <si>
    <t>Theo lít</t>
  </si>
  <si>
    <t>1 lít * 1000g</t>
  </si>
  <si>
    <t>1 chai * 9 ly</t>
  </si>
  <si>
    <t>1 kg * 1000g</t>
  </si>
  <si>
    <t>Tương Mayonaise (1kg/bịch)</t>
  </si>
  <si>
    <t>Tương mù tạc (0.5kg/bịch)</t>
  </si>
  <si>
    <t>Theo thùng</t>
  </si>
  <si>
    <t>Theo cuộn</t>
  </si>
  <si>
    <t>Theo bao</t>
  </si>
  <si>
    <t>1 bao * 250 cây</t>
  </si>
  <si>
    <t>1.1 kg bột sữa + 1.1 kg đường + 200g trà đen = 12 lít trà sữa (dựa vào bột sữa để tính)
1 lít trà sữa = 6 ly</t>
  </si>
  <si>
    <t>1.5 kg bột cacao = 6 lít cacao
1 lít cacao = 8 ly</t>
  </si>
  <si>
    <t>Đã tính theo ly</t>
  </si>
  <si>
    <t>Cách thức qui đổi ra số ly</t>
  </si>
  <si>
    <t>Công thức qui đổi ra số ly</t>
  </si>
  <si>
    <t>1 kg bột chanh = 10 lít hồng trà
1 lít hồng trà = 7 ly</t>
  </si>
  <si>
    <t>TRÀ SỮA (ly) theo số bột sữa đã nhập</t>
  </si>
  <si>
    <t>CACAO (ly) theo số bột cacao đã nhập</t>
  </si>
  <si>
    <t>Ly (theo SOP)</t>
  </si>
  <si>
    <t>PEPSI (ly) theo chai nước ngọt đã nhập</t>
  </si>
  <si>
    <t>Hồng trà chanh (ly) theo bột chanh đã nhập</t>
  </si>
  <si>
    <t>Ly (tính theo số bánh đã nhập)</t>
  </si>
  <si>
    <t>Tỉ lệ % số ly theo SOP so với số lượng ly tính theo số bánh đã nhập</t>
  </si>
  <si>
    <t>Tỉ lệ (%) ly SOP so với số bánh đã nhập</t>
  </si>
  <si>
    <t>Chênh lệch (%)</t>
  </si>
  <si>
    <t>TRÀ SỮA (ly) theo SOP</t>
  </si>
  <si>
    <t>CACAO (ly) theo SOP</t>
  </si>
  <si>
    <t>PEPSI (ly) theo SOP</t>
  </si>
  <si>
    <t>Hồng trà chanh (ly) theo SOP</t>
  </si>
  <si>
    <t>Số ly theo số lượng bánh nhập thực tế (số lượng qui đổi mong muốn)</t>
  </si>
  <si>
    <t>Số ly tính theo nguyên liệu đã nhập (tính theo SOP công ty)</t>
  </si>
  <si>
    <t>Lấy theo số lượng đã nhập (thông số chuẩn để pha Trà Sữa)</t>
  </si>
  <si>
    <t>1.1 kg đường / 1.1 kg bột sữa</t>
  </si>
  <si>
    <t>200g trà đen / 1.1 kg bột sữa</t>
  </si>
  <si>
    <t>Thịt / Gà/Tôm/BTH (miếng)</t>
  </si>
  <si>
    <t>Hiển thị số % nhập thiếu so với SOP bánh. Âm là thiếu, dương là dư.</t>
  </si>
  <si>
    <t>Túi đựng ly</t>
  </si>
  <si>
    <t>Sữa bột có đặt là hiển thị số kg đặt</t>
  </si>
  <si>
    <t>Hiển thị theo số lượng đặt thực tế</t>
  </si>
  <si>
    <t>Dưa chuột muối OTTOGI (250g/túi, 35 túi/thùng)</t>
  </si>
  <si>
    <t>Kệ Inox Di Động</t>
  </si>
  <si>
    <t>Hộp Sandwich Gà</t>
  </si>
  <si>
    <t>Khẩu trang y tế (50 cái / hộp)</t>
  </si>
  <si>
    <t>Tờ rơi giá bò 22.000, gà 27.000 (500 tờ / xấp)</t>
  </si>
  <si>
    <t>F3-294</t>
  </si>
  <si>
    <t>F5-158</t>
  </si>
  <si>
    <t>F5-161</t>
  </si>
  <si>
    <t>F5-211</t>
  </si>
  <si>
    <t>F5-272</t>
  </si>
  <si>
    <t>F7-155</t>
  </si>
  <si>
    <t>F7-194</t>
  </si>
  <si>
    <t>F7-199</t>
  </si>
  <si>
    <t>F7-212</t>
  </si>
  <si>
    <t>F7-237</t>
  </si>
  <si>
    <t>F7-240</t>
  </si>
  <si>
    <t>F7-245</t>
  </si>
  <si>
    <t>F7-246</t>
  </si>
  <si>
    <t>QL</t>
  </si>
  <si>
    <t xml:space="preserve">NQ Lâm Văn Bền </t>
  </si>
  <si>
    <t xml:space="preserve">NQ Kỳ Đồng </t>
  </si>
  <si>
    <t xml:space="preserve">NQ Phước Kiểng 1 </t>
  </si>
  <si>
    <t xml:space="preserve">NQ Cô Giang 1 </t>
  </si>
  <si>
    <t xml:space="preserve">NQ Đinh Tiên Hoàng </t>
  </si>
  <si>
    <t>NQ Đồng Nai</t>
  </si>
  <si>
    <t xml:space="preserve">NQ Hóc Môn </t>
  </si>
  <si>
    <t xml:space="preserve">NQ Huỳnh Tấn Phát </t>
  </si>
  <si>
    <t xml:space="preserve">NQ Huỳnh Tịnh Của </t>
  </si>
  <si>
    <t xml:space="preserve">NQ Lê Thánh Tôn </t>
  </si>
  <si>
    <t xml:space="preserve">NQ Lương Đình Của </t>
  </si>
  <si>
    <t xml:space="preserve">NQ Nguyễn ảnh Thủ </t>
  </si>
  <si>
    <t xml:space="preserve">NQ Lê Trọng Tấn </t>
  </si>
  <si>
    <t xml:space="preserve">NQ Nguyễn Đình Chiểu </t>
  </si>
  <si>
    <t xml:space="preserve">NQ Nguyễn Duy Trinh </t>
  </si>
  <si>
    <t xml:space="preserve">NQ Nguyễn Khoái </t>
  </si>
  <si>
    <t xml:space="preserve">NQ Nguyễn Thị Định </t>
  </si>
  <si>
    <t xml:space="preserve">NQ Lý Thái Tổ </t>
  </si>
  <si>
    <t xml:space="preserve">NQ Nhà Bè </t>
  </si>
  <si>
    <t xml:space="preserve">NQ Phạm Đăng Giảng </t>
  </si>
  <si>
    <t xml:space="preserve">NQ Phạm Hữu Lầu </t>
  </si>
  <si>
    <t xml:space="preserve">NQ Phan Văn Trị </t>
  </si>
  <si>
    <t xml:space="preserve">NQ Phú Xuân </t>
  </si>
  <si>
    <t xml:space="preserve">NQ Sông Giồng </t>
  </si>
  <si>
    <t xml:space="preserve">NQ Tôn Thất Thuyết </t>
  </si>
  <si>
    <t xml:space="preserve">NQ Trung Mỹ Tây </t>
  </si>
  <si>
    <t xml:space="preserve">NQ Trương Văn Bang </t>
  </si>
  <si>
    <t xml:space="preserve">NQ Vĩnh Khánh </t>
  </si>
  <si>
    <t xml:space="preserve">NQ Vĩnh Lộc KDC </t>
  </si>
  <si>
    <t xml:space="preserve">NQ Vĩnh Viễn </t>
  </si>
  <si>
    <t xml:space="preserve">NQ Lê Văn Lương </t>
  </si>
  <si>
    <t xml:space="preserve">NQ An Lạc </t>
  </si>
  <si>
    <t xml:space="preserve">NQ An Phú Tây </t>
  </si>
  <si>
    <t xml:space="preserve">NQ Bắc Hải </t>
  </si>
  <si>
    <t xml:space="preserve">NQ Bành Văn Trân </t>
  </si>
  <si>
    <t xml:space="preserve">NQ Bàu Cát 3 </t>
  </si>
  <si>
    <t xml:space="preserve">NQ Đặng Văn Ngữ </t>
  </si>
  <si>
    <t xml:space="preserve">NQ Đất Thánh </t>
  </si>
  <si>
    <t xml:space="preserve">NQ Độc Lập </t>
  </si>
  <si>
    <t xml:space="preserve">NQ Hiệp Tân </t>
  </si>
  <si>
    <t xml:space="preserve">NQ Hồ Văn Long </t>
  </si>
  <si>
    <t xml:space="preserve">NQ Hoàng Hoa Thám </t>
  </si>
  <si>
    <t xml:space="preserve">NQ Hoàng Việt </t>
  </si>
  <si>
    <t xml:space="preserve">NQ Âu Cơ - Tân Phú </t>
  </si>
  <si>
    <t xml:space="preserve">NQ Huỳnh Văn Chính </t>
  </si>
  <si>
    <t xml:space="preserve">NQ Lê Tấn Bê </t>
  </si>
  <si>
    <t xml:space="preserve">NQ Nguyễn Cửu Phú </t>
  </si>
  <si>
    <t xml:space="preserve">NQ Nguyễn Kiệm </t>
  </si>
  <si>
    <t xml:space="preserve">NQ Nguyễn Trọng Tuyển </t>
  </si>
  <si>
    <t xml:space="preserve">NQ Phùng Tá Chu </t>
  </si>
  <si>
    <t xml:space="preserve">NQ Tân Kiên </t>
  </si>
  <si>
    <t xml:space="preserve">NQ Tân Quý </t>
  </si>
  <si>
    <t xml:space="preserve">NQ Tân Thắng </t>
  </si>
  <si>
    <t xml:space="preserve">NQ Tân Túc 1 </t>
  </si>
  <si>
    <t xml:space="preserve">NQ Tây Thạnh </t>
  </si>
  <si>
    <t xml:space="preserve">NQ Thạch Lam </t>
  </si>
  <si>
    <t xml:space="preserve">NQ Thạnh Lộc </t>
  </si>
  <si>
    <t xml:space="preserve">NQ Thích Quảng Đức </t>
  </si>
  <si>
    <t xml:space="preserve">NQ Thống Nhất </t>
  </si>
  <si>
    <t xml:space="preserve">NQ Trường Chinh </t>
  </si>
  <si>
    <t xml:space="preserve">NQ Vĩnh Lộc B </t>
  </si>
  <si>
    <t xml:space="preserve">NQ Phạm Đình Hổ </t>
  </si>
  <si>
    <t xml:space="preserve">NQ Lý Chiêu Hoàng </t>
  </si>
  <si>
    <t xml:space="preserve">NQ Bình Hưng </t>
  </si>
  <si>
    <t xml:space="preserve">NQ Bùi Minh Trực </t>
  </si>
  <si>
    <t xml:space="preserve">NQ Chu Văn An </t>
  </si>
  <si>
    <t xml:space="preserve">NQ Đa Phước </t>
  </si>
  <si>
    <t xml:space="preserve">NQ Dương Đình Nghệ </t>
  </si>
  <si>
    <t xml:space="preserve">NQ Hàng Xanh </t>
  </si>
  <si>
    <t xml:space="preserve">NQ Hoa Lư </t>
  </si>
  <si>
    <t xml:space="preserve">NQ Hưng Phú </t>
  </si>
  <si>
    <t xml:space="preserve">NQ Hưng Việt </t>
  </si>
  <si>
    <t xml:space="preserve">NQ Ký Hòa </t>
  </si>
  <si>
    <t xml:space="preserve">NQ Lê Văn Chí </t>
  </si>
  <si>
    <t xml:space="preserve">NQ Lê Văn Việt </t>
  </si>
  <si>
    <t xml:space="preserve">NQ Linh Tây </t>
  </si>
  <si>
    <t xml:space="preserve">NQ Long Bình </t>
  </si>
  <si>
    <t xml:space="preserve">NQ Lý Tế Xuyên </t>
  </si>
  <si>
    <t xml:space="preserve">NQ Mễ Cốc </t>
  </si>
  <si>
    <t xml:space="preserve">NQ Minh Phụng </t>
  </si>
  <si>
    <t xml:space="preserve">NQ Ngô Tất Tố </t>
  </si>
  <si>
    <t xml:space="preserve">NQ Nguyễn Duy Dương </t>
  </si>
  <si>
    <t xml:space="preserve">NQ Nguyễn Trãi </t>
  </si>
  <si>
    <t xml:space="preserve">NQ Phong Phú </t>
  </si>
  <si>
    <t xml:space="preserve">NQ Phú Châu </t>
  </si>
  <si>
    <t xml:space="preserve">NQ Thái Văn Lung </t>
  </si>
  <si>
    <t xml:space="preserve">NQ Tôn Thất Hiệp </t>
  </si>
  <si>
    <t xml:space="preserve">NQ Trường Thạnh </t>
  </si>
  <si>
    <t xml:space="preserve">NQ Trường Thọ </t>
  </si>
  <si>
    <t xml:space="preserve">NQ Vạn Kiếp </t>
  </si>
  <si>
    <t xml:space="preserve">NQ Lã Xuân Oai </t>
  </si>
  <si>
    <t xml:space="preserve">NQ Lê Thị Hoa </t>
  </si>
  <si>
    <t xml:space="preserve">NQ Lê Đại Hành </t>
  </si>
  <si>
    <t>F5-149</t>
  </si>
  <si>
    <t>Tiệm ăn sáng NQ Âu Dương Lân (Trạm Chánh Hưng)</t>
  </si>
  <si>
    <t xml:space="preserve">NQ Âu Dương Lân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</si>
</sst>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4">
    <font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9C0006"/>
      <name val="Times New Roman"/>
      <family val="1"/>
    </font>
    <font>
      <sz val="10"/>
      <name val="Times New Roman"/>
      <family val="1"/>
    </font>
    <font>
      <b/>
      <sz val="11"/>
      <color rgb="FF9C6500"/>
      <name val=".VnTime"/>
      <family val="2"/>
    </font>
    <font>
      <sz val="11"/>
      <color theme="1"/>
      <name val="Times New Roman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.Vn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-0.249977111117893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43" fontId="5" fillId="0" borderId="0" applyFont="0" applyFill="0" applyBorder="0" applyAlignment="0" applyProtection="0"/>
    <xf numFmtId="0" fontId="14" fillId="0" borderId="0"/>
  </cellStyleXfs>
  <cellXfs count="76">
    <xf numFmtId="0" fontId="0" fillId="0" borderId="0" xfId="0"/>
    <xf numFmtId="164" fontId="4" fillId="3" borderId="1" xfId="2" applyNumberFormat="1" applyFont="1" applyFill="1" applyBorder="1" applyAlignment="1">
      <alignment horizontal="center" vertical="center" wrapText="1"/>
    </xf>
    <xf numFmtId="0" fontId="0" fillId="0" borderId="0" xfId="2" applyNumberFormat="1" applyFont="1"/>
    <xf numFmtId="0" fontId="5" fillId="0" borderId="0" xfId="2" applyNumberFormat="1" applyFont="1" applyFill="1"/>
    <xf numFmtId="0" fontId="10" fillId="0" borderId="0" xfId="0" applyFont="1"/>
    <xf numFmtId="0" fontId="10" fillId="0" borderId="0" xfId="2" applyNumberFormat="1" applyFont="1"/>
    <xf numFmtId="0" fontId="11" fillId="3" borderId="1" xfId="1" applyFont="1" applyBorder="1" applyAlignment="1">
      <alignment horizontal="center" vertical="center" wrapText="1"/>
    </xf>
    <xf numFmtId="0" fontId="12" fillId="0" borderId="5" xfId="0" applyFont="1" applyBorder="1"/>
    <xf numFmtId="0" fontId="14" fillId="0" borderId="0" xfId="3"/>
    <xf numFmtId="0" fontId="19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6" xfId="0" applyFont="1" applyBorder="1"/>
    <xf numFmtId="0" fontId="19" fillId="0" borderId="7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6" xfId="0" applyFont="1" applyBorder="1"/>
    <xf numFmtId="0" fontId="18" fillId="13" borderId="8" xfId="0" applyFont="1" applyFill="1" applyBorder="1"/>
    <xf numFmtId="0" fontId="0" fillId="0" borderId="0" xfId="0" applyAlignment="1">
      <alignment horizontal="left"/>
    </xf>
    <xf numFmtId="0" fontId="1" fillId="2" borderId="1" xfId="2" applyNumberFormat="1" applyFont="1" applyFill="1" applyBorder="1" applyAlignment="1">
      <alignment horizontal="center" vertical="center" wrapText="1"/>
    </xf>
    <xf numFmtId="0" fontId="1" fillId="12" borderId="1" xfId="2" applyNumberFormat="1" applyFont="1" applyFill="1" applyBorder="1" applyAlignment="1">
      <alignment horizontal="center" vertical="center" wrapText="1"/>
    </xf>
    <xf numFmtId="0" fontId="9" fillId="11" borderId="1" xfId="2" applyNumberFormat="1" applyFont="1" applyFill="1" applyBorder="1" applyAlignment="1">
      <alignment horizontal="center" vertical="center" wrapText="1"/>
    </xf>
    <xf numFmtId="0" fontId="3" fillId="4" borderId="1" xfId="2" applyNumberFormat="1" applyFont="1" applyFill="1" applyBorder="1" applyAlignment="1">
      <alignment horizontal="center" vertical="center" wrapText="1"/>
    </xf>
    <xf numFmtId="0" fontId="13" fillId="4" borderId="1" xfId="2" applyNumberFormat="1" applyFont="1" applyFill="1" applyBorder="1" applyAlignment="1">
      <alignment horizontal="center" vertical="center" wrapText="1"/>
    </xf>
    <xf numFmtId="0" fontId="17" fillId="0" borderId="0" xfId="2" applyNumberFormat="1" applyFont="1"/>
    <xf numFmtId="0" fontId="5" fillId="12" borderId="0" xfId="2" applyNumberFormat="1" applyFont="1" applyFill="1"/>
    <xf numFmtId="0" fontId="11" fillId="3" borderId="3" xfId="2" applyNumberFormat="1" applyFont="1" applyFill="1" applyBorder="1" applyAlignment="1">
      <alignment horizontal="center" vertical="center" wrapText="1"/>
    </xf>
    <xf numFmtId="0" fontId="10" fillId="0" borderId="2" xfId="2" applyNumberFormat="1" applyFont="1" applyBorder="1"/>
    <xf numFmtId="0" fontId="4" fillId="3" borderId="1" xfId="1" applyNumberFormat="1" applyFont="1" applyBorder="1" applyAlignment="1">
      <alignment horizontal="center" vertical="center" wrapText="1"/>
    </xf>
    <xf numFmtId="0" fontId="4" fillId="3" borderId="1" xfId="2" applyNumberFormat="1" applyFont="1" applyFill="1" applyBorder="1" applyAlignment="1">
      <alignment horizontal="center" vertical="center" wrapText="1"/>
    </xf>
    <xf numFmtId="0" fontId="1" fillId="2" borderId="3" xfId="2" applyNumberFormat="1" applyFont="1" applyFill="1" applyBorder="1" applyAlignment="1">
      <alignment horizontal="center" vertical="center" wrapText="1"/>
    </xf>
    <xf numFmtId="0" fontId="1" fillId="8" borderId="1" xfId="2" applyNumberFormat="1" applyFont="1" applyFill="1" applyBorder="1" applyAlignment="1">
      <alignment horizontal="center" vertical="center" wrapText="1"/>
    </xf>
    <xf numFmtId="0" fontId="1" fillId="7" borderId="1" xfId="2" applyNumberFormat="1" applyFont="1" applyFill="1" applyBorder="1" applyAlignment="1">
      <alignment horizontal="center" vertical="center"/>
    </xf>
    <xf numFmtId="0" fontId="1" fillId="5" borderId="1" xfId="2" applyNumberFormat="1" applyFont="1" applyFill="1" applyBorder="1" applyAlignment="1">
      <alignment horizontal="center" vertical="center" wrapText="1"/>
    </xf>
    <xf numFmtId="0" fontId="1" fillId="6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2" xfId="2" applyNumberFormat="1" applyFont="1" applyBorder="1"/>
    <xf numFmtId="0" fontId="5" fillId="0" borderId="1" xfId="2" applyNumberFormat="1" applyFont="1" applyBorder="1" applyAlignment="1">
      <alignment wrapText="1"/>
    </xf>
    <xf numFmtId="0" fontId="8" fillId="12" borderId="1" xfId="2" applyNumberFormat="1" applyFont="1" applyFill="1" applyBorder="1" applyAlignment="1">
      <alignment wrapText="1"/>
    </xf>
    <xf numFmtId="0" fontId="5" fillId="0" borderId="5" xfId="2" applyNumberFormat="1" applyFont="1" applyBorder="1"/>
    <xf numFmtId="0" fontId="5" fillId="0" borderId="4" xfId="2" applyNumberFormat="1" applyFont="1" applyBorder="1"/>
    <xf numFmtId="0" fontId="5" fillId="0" borderId="1" xfId="2" applyNumberFormat="1" applyFont="1" applyBorder="1"/>
    <xf numFmtId="0" fontId="0" fillId="0" borderId="0" xfId="2" applyNumberFormat="1" applyFont="1" applyAlignment="1">
      <alignment wrapText="1"/>
    </xf>
    <xf numFmtId="0" fontId="0" fillId="0" borderId="0" xfId="2" applyNumberFormat="1" applyFont="1" applyFill="1"/>
    <xf numFmtId="0" fontId="0" fillId="0" borderId="2" xfId="2" applyNumberFormat="1" applyFont="1" applyBorder="1" applyAlignment="1">
      <alignment wrapText="1"/>
    </xf>
    <xf numFmtId="0" fontId="5" fillId="0" borderId="4" xfId="2" applyNumberFormat="1" applyFont="1" applyBorder="1" applyAlignment="1">
      <alignment wrapText="1"/>
    </xf>
    <xf numFmtId="0" fontId="23" fillId="0" borderId="4" xfId="2" applyNumberFormat="1" applyFont="1" applyBorder="1" applyAlignment="1">
      <alignment wrapText="1"/>
    </xf>
    <xf numFmtId="0" fontId="23" fillId="0" borderId="2" xfId="2" applyNumberFormat="1" applyFont="1" applyFill="1" applyBorder="1"/>
    <xf numFmtId="0" fontId="10" fillId="0" borderId="0" xfId="0" applyFont="1" applyAlignment="1">
      <alignment horizontal="left" vertical="top" wrapText="1"/>
    </xf>
    <xf numFmtId="0" fontId="10" fillId="0" borderId="0" xfId="2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2" applyNumberFormat="1" applyFont="1" applyAlignment="1">
      <alignment horizontal="left" vertical="top" wrapText="1"/>
    </xf>
    <xf numFmtId="0" fontId="0" fillId="0" borderId="0" xfId="2" applyNumberFormat="1" applyFont="1" applyAlignment="1">
      <alignment horizontal="left" vertical="top"/>
    </xf>
    <xf numFmtId="2" fontId="0" fillId="0" borderId="0" xfId="2" applyNumberFormat="1" applyFont="1" applyAlignment="1">
      <alignment horizontal="left" vertical="top" wrapText="1"/>
    </xf>
    <xf numFmtId="1" fontId="5" fillId="0" borderId="2" xfId="2" applyNumberFormat="1" applyFont="1" applyBorder="1" applyAlignment="1">
      <alignment wrapText="1"/>
    </xf>
    <xf numFmtId="1" fontId="0" fillId="0" borderId="2" xfId="2" applyNumberFormat="1" applyFont="1" applyBorder="1" applyAlignment="1">
      <alignment wrapText="1"/>
    </xf>
    <xf numFmtId="1" fontId="5" fillId="0" borderId="1" xfId="2" applyNumberFormat="1" applyFont="1" applyBorder="1" applyAlignment="1">
      <alignment wrapText="1"/>
    </xf>
    <xf numFmtId="2" fontId="0" fillId="0" borderId="0" xfId="2" applyNumberFormat="1" applyFont="1" applyAlignment="1">
      <alignment horizontal="left" vertical="top"/>
    </xf>
    <xf numFmtId="165" fontId="5" fillId="0" borderId="1" xfId="2" applyNumberFormat="1" applyFont="1" applyBorder="1"/>
    <xf numFmtId="0" fontId="6" fillId="9" borderId="1" xfId="2" applyNumberFormat="1" applyFont="1" applyFill="1" applyBorder="1" applyAlignment="1">
      <alignment horizontal="center" vertical="center" wrapText="1"/>
    </xf>
    <xf numFmtId="0" fontId="7" fillId="10" borderId="1" xfId="2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/>
    <xf numFmtId="1" fontId="5" fillId="0" borderId="1" xfId="2" applyNumberFormat="1" applyFont="1" applyFill="1" applyBorder="1"/>
    <xf numFmtId="1" fontId="5" fillId="0" borderId="4" xfId="2" applyNumberFormat="1" applyFont="1" applyFill="1" applyBorder="1"/>
    <xf numFmtId="1" fontId="8" fillId="0" borderId="1" xfId="2" applyNumberFormat="1" applyFont="1" applyFill="1" applyBorder="1"/>
    <xf numFmtId="0" fontId="16" fillId="0" borderId="2" xfId="3" applyFont="1" applyBorder="1" applyAlignment="1">
      <alignment horizontal="left" vertical="top"/>
    </xf>
    <xf numFmtId="0" fontId="14" fillId="0" borderId="2" xfId="3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0" fillId="0" borderId="2" xfId="3" applyFont="1" applyBorder="1" applyAlignment="1">
      <alignment horizontal="left" vertical="top"/>
    </xf>
    <xf numFmtId="0" fontId="14" fillId="0" borderId="2" xfId="3" applyBorder="1" applyAlignment="1">
      <alignment horizontal="left" vertical="top" wrapText="1"/>
    </xf>
    <xf numFmtId="0" fontId="0" fillId="0" borderId="2" xfId="3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/>
    </xf>
    <xf numFmtId="0" fontId="14" fillId="0" borderId="0" xfId="3" applyAlignment="1">
      <alignment horizontal="left" vertical="top"/>
    </xf>
    <xf numFmtId="0" fontId="15" fillId="0" borderId="0" xfId="3" applyFont="1" applyAlignment="1">
      <alignment horizontal="center" vertical="top"/>
    </xf>
    <xf numFmtId="0" fontId="0" fillId="0" borderId="9" xfId="2" applyNumberFormat="1" applyFont="1" applyBorder="1" applyAlignment="1">
      <alignment horizontal="center" vertical="center" wrapText="1"/>
    </xf>
    <xf numFmtId="0" fontId="0" fillId="0" borderId="9" xfId="2" applyNumberFormat="1" applyFont="1" applyBorder="1" applyAlignment="1">
      <alignment horizontal="center" wrapText="1"/>
    </xf>
    <xf numFmtId="0" fontId="12" fillId="0" borderId="0" xfId="0" applyFont="1" applyBorder="1"/>
  </cellXfs>
  <cellStyles count="4">
    <cellStyle name="Bình thường" xfId="0" builtinId="0"/>
    <cellStyle name="Dấu phẩy" xfId="2" builtinId="3"/>
    <cellStyle name="Normal 2" xfId="3" xr:uid="{FE90F7E8-7A9B-4E36-B056-D9C6C903AEF6}"/>
    <cellStyle name="Xấu" xfId="1" builtinId="27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CAC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1C2E-2768-4422-A3BC-19635A8F26F5}">
  <dimension ref="A1:AX127"/>
  <sheetViews>
    <sheetView tabSelected="1" workbookViewId="0">
      <selection activeCell="Z3" sqref="Z3"/>
    </sheetView>
  </sheetViews>
  <sheetFormatPr defaultColWidth="9.109375" defaultRowHeight="14.4"/>
  <cols>
    <col min="1" max="1" width="12.77734375" bestFit="1" customWidth="1"/>
    <col min="2" max="2" width="22.21875" bestFit="1" customWidth="1"/>
    <col min="3" max="3" width="29" bestFit="1" customWidth="1"/>
    <col min="4" max="4" width="25.5546875" bestFit="1" customWidth="1"/>
    <col min="5" max="5" width="22.88671875" bestFit="1" customWidth="1"/>
    <col min="6" max="6" width="26.5546875" bestFit="1" customWidth="1"/>
    <col min="7" max="7" width="39.5546875" bestFit="1" customWidth="1"/>
    <col min="8" max="8" width="21.33203125" bestFit="1" customWidth="1"/>
    <col min="9" max="9" width="23" bestFit="1" customWidth="1"/>
    <col min="10" max="10" width="16.21875" bestFit="1" customWidth="1"/>
    <col min="11" max="11" width="27.6640625" bestFit="1" customWidth="1"/>
    <col min="12" max="12" width="22.5546875" bestFit="1" customWidth="1"/>
    <col min="13" max="13" width="17.44140625" bestFit="1" customWidth="1"/>
    <col min="14" max="14" width="22.109375" bestFit="1" customWidth="1"/>
    <col min="15" max="15" width="26.88671875" bestFit="1" customWidth="1"/>
    <col min="16" max="16" width="31" bestFit="1" customWidth="1"/>
    <col min="17" max="17" width="27.21875" bestFit="1" customWidth="1"/>
    <col min="18" max="18" width="28.33203125" bestFit="1" customWidth="1"/>
    <col min="19" max="19" width="26.109375" bestFit="1" customWidth="1"/>
    <col min="20" max="20" width="20.88671875" bestFit="1" customWidth="1"/>
    <col min="21" max="21" width="33.21875" bestFit="1" customWidth="1"/>
    <col min="22" max="22" width="29.33203125" bestFit="1" customWidth="1"/>
    <col min="23" max="23" width="36" bestFit="1" customWidth="1"/>
    <col min="24" max="24" width="34.109375" bestFit="1" customWidth="1"/>
    <col min="25" max="25" width="35.88671875" bestFit="1" customWidth="1"/>
    <col min="26" max="26" width="35.44140625" bestFit="1" customWidth="1"/>
    <col min="27" max="27" width="28.88671875" bestFit="1" customWidth="1"/>
    <col min="28" max="28" width="39.109375" bestFit="1" customWidth="1"/>
    <col min="29" max="29" width="33.44140625" bestFit="1" customWidth="1"/>
    <col min="30" max="30" width="20.6640625" bestFit="1" customWidth="1"/>
    <col min="31" max="31" width="20.88671875" bestFit="1" customWidth="1"/>
    <col min="32" max="32" width="17.44140625" bestFit="1" customWidth="1"/>
    <col min="33" max="33" width="6.77734375" bestFit="1" customWidth="1"/>
    <col min="34" max="34" width="17.44140625" bestFit="1" customWidth="1"/>
    <col min="35" max="35" width="44.77734375" bestFit="1" customWidth="1"/>
    <col min="36" max="36" width="28.88671875" bestFit="1" customWidth="1"/>
    <col min="37" max="37" width="26.6640625" bestFit="1" customWidth="1"/>
    <col min="38" max="38" width="22" bestFit="1" customWidth="1"/>
    <col min="39" max="39" width="26.44140625" bestFit="1" customWidth="1"/>
    <col min="40" max="40" width="24.44140625" bestFit="1" customWidth="1"/>
    <col min="41" max="41" width="31.21875" bestFit="1" customWidth="1"/>
    <col min="42" max="42" width="22.33203125" bestFit="1" customWidth="1"/>
    <col min="43" max="43" width="6.88671875" bestFit="1" customWidth="1"/>
    <col min="44" max="44" width="22.5546875" bestFit="1" customWidth="1"/>
    <col min="45" max="45" width="11.88671875" bestFit="1" customWidth="1"/>
    <col min="46" max="46" width="42.88671875" bestFit="1" customWidth="1"/>
    <col min="47" max="47" width="14.44140625" bestFit="1" customWidth="1"/>
    <col min="48" max="48" width="15.77734375" bestFit="1" customWidth="1"/>
    <col min="49" max="49" width="25.88671875" bestFit="1" customWidth="1"/>
    <col min="50" max="50" width="39.21875" bestFit="1" customWidth="1"/>
  </cols>
  <sheetData>
    <row r="1" spans="1:5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</row>
    <row r="2" spans="1:50">
      <c r="A2" s="16" t="s">
        <v>283</v>
      </c>
      <c r="B2" s="16" t="s">
        <v>317</v>
      </c>
      <c r="C2" s="16" t="s">
        <v>284</v>
      </c>
      <c r="D2" s="16" t="s">
        <v>285</v>
      </c>
      <c r="E2" s="16" t="s">
        <v>286</v>
      </c>
      <c r="F2" s="16" t="s">
        <v>287</v>
      </c>
      <c r="G2" s="16" t="s">
        <v>318</v>
      </c>
      <c r="H2" s="16" t="s">
        <v>319</v>
      </c>
      <c r="I2" s="16" t="s">
        <v>320</v>
      </c>
      <c r="J2" s="16" t="s">
        <v>321</v>
      </c>
      <c r="K2" s="16" t="s">
        <v>40</v>
      </c>
      <c r="L2" s="16" t="s">
        <v>36</v>
      </c>
      <c r="M2" s="16" t="s">
        <v>47</v>
      </c>
      <c r="N2" s="16" t="s">
        <v>42</v>
      </c>
      <c r="O2" s="16" t="s">
        <v>48</v>
      </c>
      <c r="P2" s="16" t="s">
        <v>49</v>
      </c>
      <c r="Q2" s="16" t="s">
        <v>50</v>
      </c>
      <c r="R2" s="16" t="s">
        <v>51</v>
      </c>
      <c r="S2" s="16" t="s">
        <v>37</v>
      </c>
      <c r="T2" s="16" t="s">
        <v>288</v>
      </c>
      <c r="U2" s="16" t="s">
        <v>289</v>
      </c>
      <c r="V2" s="16" t="s">
        <v>290</v>
      </c>
      <c r="W2" s="16" t="s">
        <v>291</v>
      </c>
      <c r="X2" s="16" t="s">
        <v>292</v>
      </c>
      <c r="Y2" s="16" t="s">
        <v>293</v>
      </c>
      <c r="Z2" s="16" t="s">
        <v>322</v>
      </c>
      <c r="AA2" s="16" t="s">
        <v>323</v>
      </c>
      <c r="AB2" s="16" t="s">
        <v>41</v>
      </c>
      <c r="AC2" s="16" t="s">
        <v>324</v>
      </c>
      <c r="AD2" s="16" t="s">
        <v>35</v>
      </c>
      <c r="AE2" s="16" t="s">
        <v>325</v>
      </c>
      <c r="AF2" s="16" t="s">
        <v>38</v>
      </c>
      <c r="AG2" s="16" t="s">
        <v>326</v>
      </c>
      <c r="AH2" s="16" t="s">
        <v>39</v>
      </c>
      <c r="AI2" s="16" t="s">
        <v>294</v>
      </c>
      <c r="AJ2" s="16" t="s">
        <v>52</v>
      </c>
      <c r="AK2" s="16" t="s">
        <v>53</v>
      </c>
      <c r="AL2" s="16" t="s">
        <v>43</v>
      </c>
      <c r="AM2" s="16" t="s">
        <v>44</v>
      </c>
      <c r="AN2" s="16" t="s">
        <v>45</v>
      </c>
      <c r="AO2" s="16" t="s">
        <v>46</v>
      </c>
      <c r="AP2" s="16" t="s">
        <v>295</v>
      </c>
      <c r="AQ2" s="16" t="s">
        <v>327</v>
      </c>
      <c r="AR2" s="16" t="s">
        <v>328</v>
      </c>
      <c r="AS2" s="16" t="s">
        <v>329</v>
      </c>
      <c r="AT2" s="16" t="s">
        <v>387</v>
      </c>
      <c r="AU2" s="16" t="s">
        <v>388</v>
      </c>
      <c r="AV2" s="16" t="s">
        <v>389</v>
      </c>
      <c r="AW2" s="16" t="s">
        <v>390</v>
      </c>
      <c r="AX2" s="16" t="s">
        <v>391</v>
      </c>
    </row>
    <row r="3" spans="1:50">
      <c r="A3" s="17" t="s">
        <v>156</v>
      </c>
      <c r="C3">
        <v>208</v>
      </c>
      <c r="D3">
        <v>36</v>
      </c>
      <c r="E3">
        <v>70</v>
      </c>
      <c r="F3">
        <v>96</v>
      </c>
      <c r="J3">
        <v>1</v>
      </c>
      <c r="K3">
        <v>2</v>
      </c>
      <c r="O3">
        <v>500</v>
      </c>
      <c r="X3">
        <v>180</v>
      </c>
      <c r="Y3">
        <v>60</v>
      </c>
      <c r="Z3">
        <v>180</v>
      </c>
      <c r="AB3">
        <v>12</v>
      </c>
      <c r="AE3">
        <v>0.5</v>
      </c>
      <c r="AI3">
        <v>1</v>
      </c>
      <c r="AL3">
        <v>2</v>
      </c>
      <c r="AO3">
        <v>2</v>
      </c>
      <c r="AP3">
        <v>30</v>
      </c>
    </row>
    <row r="4" spans="1:50">
      <c r="A4" s="17" t="s">
        <v>0</v>
      </c>
      <c r="C4">
        <v>888</v>
      </c>
      <c r="D4">
        <v>268</v>
      </c>
      <c r="E4">
        <v>230</v>
      </c>
      <c r="F4">
        <v>384</v>
      </c>
      <c r="H4">
        <v>1</v>
      </c>
      <c r="J4">
        <v>2</v>
      </c>
      <c r="K4">
        <v>2.5</v>
      </c>
      <c r="L4">
        <v>2</v>
      </c>
      <c r="M4">
        <v>24</v>
      </c>
      <c r="O4">
        <v>500</v>
      </c>
      <c r="P4">
        <v>450</v>
      </c>
      <c r="Q4">
        <v>100</v>
      </c>
      <c r="R4">
        <v>200</v>
      </c>
      <c r="S4">
        <v>3.5</v>
      </c>
      <c r="T4">
        <v>3</v>
      </c>
      <c r="U4">
        <v>1000</v>
      </c>
      <c r="X4">
        <v>60</v>
      </c>
      <c r="AA4">
        <v>1500</v>
      </c>
      <c r="AB4">
        <v>60</v>
      </c>
      <c r="AC4">
        <v>4</v>
      </c>
      <c r="AE4">
        <v>1</v>
      </c>
      <c r="AI4">
        <v>7</v>
      </c>
      <c r="AJ4">
        <v>100</v>
      </c>
      <c r="AK4">
        <v>300</v>
      </c>
      <c r="AL4">
        <v>14</v>
      </c>
      <c r="AM4">
        <v>10</v>
      </c>
      <c r="AO4">
        <v>7</v>
      </c>
      <c r="AP4">
        <v>220</v>
      </c>
    </row>
    <row r="5" spans="1:50">
      <c r="A5" s="17" t="s">
        <v>150</v>
      </c>
      <c r="B5">
        <v>20</v>
      </c>
      <c r="C5">
        <v>1288</v>
      </c>
      <c r="D5">
        <v>244</v>
      </c>
      <c r="E5">
        <v>290</v>
      </c>
      <c r="F5">
        <v>48</v>
      </c>
      <c r="M5">
        <v>36</v>
      </c>
      <c r="O5">
        <v>1000</v>
      </c>
      <c r="P5">
        <v>450</v>
      </c>
      <c r="R5">
        <v>100</v>
      </c>
      <c r="S5">
        <v>1.5</v>
      </c>
      <c r="U5">
        <v>3000</v>
      </c>
      <c r="V5">
        <v>1</v>
      </c>
      <c r="X5">
        <v>1020</v>
      </c>
      <c r="Y5">
        <v>90</v>
      </c>
      <c r="Z5">
        <v>180</v>
      </c>
      <c r="AB5">
        <v>48</v>
      </c>
      <c r="AC5">
        <v>12</v>
      </c>
      <c r="AD5">
        <v>3</v>
      </c>
      <c r="AE5">
        <v>1</v>
      </c>
      <c r="AI5">
        <v>3</v>
      </c>
      <c r="AJ5">
        <v>400</v>
      </c>
      <c r="AK5">
        <v>300</v>
      </c>
      <c r="AL5">
        <v>14</v>
      </c>
      <c r="AM5">
        <v>2</v>
      </c>
      <c r="AN5">
        <v>1</v>
      </c>
      <c r="AO5">
        <v>11</v>
      </c>
      <c r="AP5">
        <v>140</v>
      </c>
    </row>
    <row r="6" spans="1:50">
      <c r="A6" s="17" t="s">
        <v>96</v>
      </c>
      <c r="C6">
        <v>492</v>
      </c>
      <c r="D6">
        <v>92</v>
      </c>
      <c r="E6">
        <v>70</v>
      </c>
      <c r="F6">
        <v>144</v>
      </c>
      <c r="K6">
        <v>4</v>
      </c>
      <c r="L6">
        <v>1</v>
      </c>
      <c r="M6">
        <v>10</v>
      </c>
      <c r="P6">
        <v>300</v>
      </c>
      <c r="R6">
        <v>100</v>
      </c>
      <c r="S6">
        <v>1</v>
      </c>
      <c r="U6">
        <v>1000</v>
      </c>
      <c r="X6">
        <v>240</v>
      </c>
      <c r="Y6">
        <v>60</v>
      </c>
      <c r="Z6">
        <v>270</v>
      </c>
      <c r="AA6">
        <v>600</v>
      </c>
      <c r="AB6">
        <v>36</v>
      </c>
      <c r="AC6">
        <v>4</v>
      </c>
      <c r="AE6">
        <v>2</v>
      </c>
      <c r="AH6">
        <v>1</v>
      </c>
      <c r="AI6">
        <v>2</v>
      </c>
      <c r="AL6">
        <v>2</v>
      </c>
      <c r="AM6">
        <v>2</v>
      </c>
      <c r="AO6">
        <v>6</v>
      </c>
      <c r="AP6">
        <v>70</v>
      </c>
    </row>
    <row r="7" spans="1:50">
      <c r="A7" s="17" t="s">
        <v>136</v>
      </c>
      <c r="C7">
        <v>460</v>
      </c>
      <c r="D7">
        <v>48</v>
      </c>
      <c r="E7">
        <v>60</v>
      </c>
      <c r="F7">
        <v>24</v>
      </c>
      <c r="K7">
        <v>9</v>
      </c>
      <c r="M7">
        <v>6</v>
      </c>
      <c r="P7">
        <v>450</v>
      </c>
      <c r="V7">
        <v>1</v>
      </c>
      <c r="X7">
        <v>660</v>
      </c>
      <c r="Y7">
        <v>30</v>
      </c>
      <c r="Z7">
        <v>90</v>
      </c>
      <c r="AB7">
        <v>36</v>
      </c>
      <c r="AD7">
        <v>1</v>
      </c>
      <c r="AH7">
        <v>2</v>
      </c>
      <c r="AI7">
        <v>6</v>
      </c>
      <c r="AJ7">
        <v>100</v>
      </c>
      <c r="AK7">
        <v>200</v>
      </c>
      <c r="AL7">
        <v>12</v>
      </c>
      <c r="AM7">
        <v>4</v>
      </c>
      <c r="AP7">
        <v>120</v>
      </c>
    </row>
    <row r="8" spans="1:50">
      <c r="A8" s="17" t="s">
        <v>107</v>
      </c>
      <c r="B8">
        <v>10</v>
      </c>
      <c r="C8">
        <v>3480</v>
      </c>
      <c r="D8">
        <v>656</v>
      </c>
      <c r="E8">
        <v>500</v>
      </c>
      <c r="F8">
        <v>816</v>
      </c>
      <c r="H8">
        <v>1</v>
      </c>
      <c r="J8">
        <v>10</v>
      </c>
      <c r="K8">
        <v>32</v>
      </c>
      <c r="L8">
        <v>1</v>
      </c>
      <c r="M8">
        <v>12</v>
      </c>
      <c r="N8">
        <v>12</v>
      </c>
      <c r="O8">
        <v>1500</v>
      </c>
      <c r="P8">
        <v>2100</v>
      </c>
      <c r="Q8">
        <v>300</v>
      </c>
      <c r="R8">
        <v>300</v>
      </c>
      <c r="S8">
        <v>4</v>
      </c>
      <c r="U8">
        <v>5000</v>
      </c>
      <c r="V8">
        <v>1</v>
      </c>
      <c r="X8">
        <v>2520</v>
      </c>
      <c r="Y8">
        <v>390</v>
      </c>
      <c r="Z8">
        <v>1440</v>
      </c>
      <c r="AB8">
        <v>156</v>
      </c>
      <c r="AC8">
        <v>20</v>
      </c>
      <c r="AD8">
        <v>1</v>
      </c>
      <c r="AE8">
        <v>1.5</v>
      </c>
      <c r="AF8">
        <v>25</v>
      </c>
      <c r="AH8">
        <v>3</v>
      </c>
      <c r="AI8">
        <v>23</v>
      </c>
      <c r="AJ8">
        <v>300</v>
      </c>
      <c r="AK8">
        <v>700</v>
      </c>
      <c r="AL8">
        <v>18</v>
      </c>
      <c r="AM8">
        <v>18</v>
      </c>
      <c r="AN8">
        <v>1.5</v>
      </c>
      <c r="AO8">
        <v>2</v>
      </c>
      <c r="AP8">
        <v>400</v>
      </c>
    </row>
    <row r="9" spans="1:50">
      <c r="A9" s="17" t="s">
        <v>115</v>
      </c>
      <c r="B9">
        <v>10</v>
      </c>
      <c r="C9">
        <v>1152</v>
      </c>
      <c r="D9">
        <v>148</v>
      </c>
      <c r="E9">
        <v>350</v>
      </c>
      <c r="F9">
        <v>360</v>
      </c>
      <c r="G9">
        <v>2</v>
      </c>
      <c r="H9">
        <v>2</v>
      </c>
      <c r="J9">
        <v>5</v>
      </c>
      <c r="K9">
        <v>3</v>
      </c>
      <c r="L9">
        <v>1</v>
      </c>
      <c r="M9">
        <v>48</v>
      </c>
      <c r="N9">
        <v>24</v>
      </c>
      <c r="O9">
        <v>1000</v>
      </c>
      <c r="R9">
        <v>200</v>
      </c>
      <c r="S9">
        <v>1.5</v>
      </c>
      <c r="U9">
        <v>2000</v>
      </c>
      <c r="V9">
        <v>1</v>
      </c>
      <c r="W9">
        <v>120</v>
      </c>
      <c r="X9">
        <v>900</v>
      </c>
      <c r="Y9">
        <v>240</v>
      </c>
      <c r="Z9">
        <v>540</v>
      </c>
      <c r="AB9">
        <v>48</v>
      </c>
      <c r="AC9">
        <v>9</v>
      </c>
      <c r="AD9">
        <v>3</v>
      </c>
      <c r="AE9">
        <v>3</v>
      </c>
      <c r="AF9">
        <v>25</v>
      </c>
      <c r="AH9">
        <v>2</v>
      </c>
      <c r="AI9">
        <v>9</v>
      </c>
      <c r="AJ9">
        <v>400</v>
      </c>
      <c r="AK9">
        <v>200</v>
      </c>
      <c r="AL9">
        <v>14</v>
      </c>
      <c r="AM9">
        <v>12</v>
      </c>
      <c r="AN9">
        <v>1.5</v>
      </c>
      <c r="AO9">
        <v>21</v>
      </c>
      <c r="AP9">
        <v>230</v>
      </c>
    </row>
    <row r="10" spans="1:50">
      <c r="A10" s="17" t="s">
        <v>144</v>
      </c>
      <c r="C10">
        <v>728</v>
      </c>
      <c r="D10">
        <v>100</v>
      </c>
      <c r="E10">
        <v>210</v>
      </c>
      <c r="F10">
        <v>288</v>
      </c>
      <c r="H10">
        <v>1</v>
      </c>
      <c r="J10">
        <v>3</v>
      </c>
      <c r="K10">
        <v>4</v>
      </c>
      <c r="L10">
        <v>1</v>
      </c>
      <c r="M10">
        <v>96</v>
      </c>
      <c r="N10">
        <v>24</v>
      </c>
      <c r="O10">
        <v>1000</v>
      </c>
      <c r="S10">
        <v>0.5</v>
      </c>
      <c r="U10">
        <v>1000</v>
      </c>
      <c r="V10">
        <v>1</v>
      </c>
      <c r="W10">
        <v>210</v>
      </c>
      <c r="X10">
        <v>1740</v>
      </c>
      <c r="Y10">
        <v>360</v>
      </c>
      <c r="Z10">
        <v>1440</v>
      </c>
      <c r="AB10">
        <v>60</v>
      </c>
      <c r="AC10">
        <v>4</v>
      </c>
      <c r="AD10">
        <v>1</v>
      </c>
      <c r="AE10">
        <v>2</v>
      </c>
      <c r="AF10">
        <v>25</v>
      </c>
      <c r="AH10">
        <v>1</v>
      </c>
      <c r="AI10">
        <v>6</v>
      </c>
      <c r="AJ10">
        <v>200</v>
      </c>
      <c r="AK10">
        <v>100</v>
      </c>
      <c r="AL10">
        <v>8</v>
      </c>
      <c r="AM10">
        <v>6</v>
      </c>
      <c r="AN10">
        <v>0.5</v>
      </c>
      <c r="AO10">
        <v>3</v>
      </c>
      <c r="AP10">
        <v>400</v>
      </c>
    </row>
    <row r="11" spans="1:50">
      <c r="A11" s="17" t="s">
        <v>113</v>
      </c>
      <c r="B11">
        <v>20</v>
      </c>
      <c r="C11">
        <v>1348</v>
      </c>
      <c r="D11">
        <v>168</v>
      </c>
      <c r="E11">
        <v>320</v>
      </c>
      <c r="F11">
        <v>336</v>
      </c>
      <c r="H11">
        <v>1</v>
      </c>
      <c r="J11">
        <v>6</v>
      </c>
      <c r="K11">
        <v>8</v>
      </c>
      <c r="L11">
        <v>1</v>
      </c>
      <c r="N11">
        <v>24</v>
      </c>
      <c r="O11">
        <v>1000</v>
      </c>
      <c r="P11">
        <v>300</v>
      </c>
      <c r="Q11">
        <v>100</v>
      </c>
      <c r="R11">
        <v>100</v>
      </c>
      <c r="S11">
        <v>1</v>
      </c>
      <c r="U11">
        <v>2000</v>
      </c>
      <c r="V11">
        <v>1</v>
      </c>
      <c r="AB11">
        <v>48</v>
      </c>
      <c r="AC11">
        <v>8</v>
      </c>
      <c r="AD11">
        <v>3</v>
      </c>
      <c r="AE11">
        <v>1</v>
      </c>
      <c r="AG11">
        <v>2</v>
      </c>
      <c r="AH11">
        <v>3</v>
      </c>
      <c r="AI11">
        <v>8</v>
      </c>
      <c r="AJ11">
        <v>200</v>
      </c>
      <c r="AK11">
        <v>200</v>
      </c>
      <c r="AL11">
        <v>18</v>
      </c>
      <c r="AM11">
        <v>13</v>
      </c>
      <c r="AN11">
        <v>1</v>
      </c>
      <c r="AO11">
        <v>16</v>
      </c>
    </row>
    <row r="12" spans="1:50">
      <c r="A12" s="17" t="s">
        <v>255</v>
      </c>
      <c r="C12">
        <v>1144</v>
      </c>
      <c r="D12">
        <v>172</v>
      </c>
      <c r="E12">
        <v>320</v>
      </c>
      <c r="F12">
        <v>312</v>
      </c>
      <c r="J12">
        <v>2</v>
      </c>
      <c r="K12">
        <v>2.5</v>
      </c>
      <c r="L12">
        <v>2</v>
      </c>
      <c r="M12">
        <v>8</v>
      </c>
      <c r="N12">
        <v>24</v>
      </c>
      <c r="O12">
        <v>1000</v>
      </c>
      <c r="P12">
        <v>600</v>
      </c>
      <c r="R12">
        <v>100</v>
      </c>
      <c r="S12">
        <v>1</v>
      </c>
      <c r="U12">
        <v>1000</v>
      </c>
      <c r="V12">
        <v>1</v>
      </c>
      <c r="X12">
        <v>480</v>
      </c>
      <c r="Y12">
        <v>150</v>
      </c>
      <c r="Z12">
        <v>900</v>
      </c>
      <c r="AB12">
        <v>48</v>
      </c>
      <c r="AC12">
        <v>4</v>
      </c>
      <c r="AE12">
        <v>1</v>
      </c>
      <c r="AH12">
        <v>3</v>
      </c>
      <c r="AI12">
        <v>8</v>
      </c>
      <c r="AJ12">
        <v>300</v>
      </c>
      <c r="AK12">
        <v>200</v>
      </c>
      <c r="AL12">
        <v>14</v>
      </c>
      <c r="AM12">
        <v>6</v>
      </c>
      <c r="AN12">
        <v>1</v>
      </c>
      <c r="AO12">
        <v>2</v>
      </c>
      <c r="AP12">
        <v>140</v>
      </c>
    </row>
    <row r="13" spans="1:50">
      <c r="A13" s="17" t="s">
        <v>231</v>
      </c>
      <c r="B13">
        <v>10</v>
      </c>
      <c r="C13">
        <v>968</v>
      </c>
      <c r="D13">
        <v>236</v>
      </c>
      <c r="E13">
        <v>260</v>
      </c>
      <c r="F13">
        <v>312</v>
      </c>
      <c r="H13">
        <v>1</v>
      </c>
      <c r="J13">
        <v>4</v>
      </c>
      <c r="K13">
        <v>8</v>
      </c>
      <c r="L13">
        <v>1</v>
      </c>
      <c r="M13">
        <v>8</v>
      </c>
      <c r="N13">
        <v>12</v>
      </c>
      <c r="P13">
        <v>900</v>
      </c>
      <c r="Q13">
        <v>200</v>
      </c>
      <c r="R13">
        <v>100</v>
      </c>
      <c r="S13">
        <v>3</v>
      </c>
      <c r="U13">
        <v>2000</v>
      </c>
      <c r="V13">
        <v>1</v>
      </c>
      <c r="W13">
        <v>240</v>
      </c>
      <c r="X13">
        <v>780</v>
      </c>
      <c r="Y13">
        <v>150</v>
      </c>
      <c r="Z13">
        <v>270</v>
      </c>
      <c r="AB13">
        <v>60</v>
      </c>
      <c r="AC13">
        <v>8</v>
      </c>
      <c r="AE13">
        <v>2.5</v>
      </c>
      <c r="AH13">
        <v>2</v>
      </c>
      <c r="AI13">
        <v>5</v>
      </c>
      <c r="AK13">
        <v>200</v>
      </c>
      <c r="AL13">
        <v>12</v>
      </c>
      <c r="AM13">
        <v>8</v>
      </c>
      <c r="AP13">
        <v>180</v>
      </c>
      <c r="AT13">
        <v>4</v>
      </c>
      <c r="AV13">
        <v>100</v>
      </c>
    </row>
    <row r="14" spans="1:50">
      <c r="A14" s="17" t="s">
        <v>259</v>
      </c>
      <c r="C14">
        <v>1140</v>
      </c>
      <c r="D14">
        <v>228</v>
      </c>
      <c r="E14">
        <v>270</v>
      </c>
      <c r="F14">
        <v>336</v>
      </c>
      <c r="K14">
        <v>11.5</v>
      </c>
      <c r="L14">
        <v>1</v>
      </c>
      <c r="M14">
        <v>10</v>
      </c>
      <c r="N14">
        <v>24</v>
      </c>
      <c r="O14">
        <v>500</v>
      </c>
      <c r="P14">
        <v>900</v>
      </c>
      <c r="Q14">
        <v>100</v>
      </c>
      <c r="S14">
        <v>1</v>
      </c>
      <c r="U14">
        <v>1000</v>
      </c>
      <c r="W14">
        <v>90</v>
      </c>
      <c r="X14">
        <v>780</v>
      </c>
      <c r="Y14">
        <v>180</v>
      </c>
      <c r="Z14">
        <v>450</v>
      </c>
      <c r="AB14">
        <v>72</v>
      </c>
      <c r="AC14">
        <v>4</v>
      </c>
      <c r="AD14">
        <v>3</v>
      </c>
      <c r="AE14">
        <v>2</v>
      </c>
      <c r="AF14">
        <v>25</v>
      </c>
      <c r="AH14">
        <v>2</v>
      </c>
      <c r="AI14">
        <v>5</v>
      </c>
      <c r="AK14">
        <v>200</v>
      </c>
      <c r="AL14">
        <v>14</v>
      </c>
      <c r="AM14">
        <v>5</v>
      </c>
      <c r="AN14">
        <v>0.5</v>
      </c>
      <c r="AO14">
        <v>5</v>
      </c>
      <c r="AP14">
        <v>140</v>
      </c>
    </row>
    <row r="15" spans="1:50">
      <c r="A15" s="17" t="s">
        <v>109</v>
      </c>
      <c r="C15">
        <v>2556</v>
      </c>
      <c r="D15">
        <v>148</v>
      </c>
      <c r="E15">
        <v>600</v>
      </c>
      <c r="F15">
        <v>192</v>
      </c>
      <c r="K15">
        <v>21.5</v>
      </c>
      <c r="M15">
        <v>28</v>
      </c>
      <c r="N15">
        <v>36</v>
      </c>
      <c r="O15">
        <v>500</v>
      </c>
      <c r="P15">
        <v>1350</v>
      </c>
      <c r="Q15">
        <v>300</v>
      </c>
      <c r="R15">
        <v>200</v>
      </c>
      <c r="S15">
        <v>2</v>
      </c>
      <c r="U15">
        <v>3000</v>
      </c>
      <c r="V15">
        <v>1</v>
      </c>
      <c r="W15">
        <v>210</v>
      </c>
      <c r="X15">
        <v>2040</v>
      </c>
      <c r="Y15">
        <v>180</v>
      </c>
      <c r="Z15">
        <v>900</v>
      </c>
      <c r="AB15">
        <v>60</v>
      </c>
      <c r="AC15">
        <v>12</v>
      </c>
      <c r="AE15">
        <v>3</v>
      </c>
      <c r="AF15">
        <v>50</v>
      </c>
      <c r="AH15">
        <v>6</v>
      </c>
      <c r="AI15">
        <v>17</v>
      </c>
      <c r="AJ15">
        <v>300</v>
      </c>
      <c r="AK15">
        <v>200</v>
      </c>
      <c r="AL15">
        <v>28</v>
      </c>
      <c r="AM15">
        <v>19</v>
      </c>
      <c r="AO15">
        <v>2</v>
      </c>
      <c r="AP15">
        <v>160</v>
      </c>
    </row>
    <row r="16" spans="1:50">
      <c r="A16" s="17" t="s">
        <v>269</v>
      </c>
      <c r="C16">
        <v>488</v>
      </c>
      <c r="D16">
        <v>128</v>
      </c>
      <c r="E16">
        <v>120</v>
      </c>
      <c r="F16">
        <v>144</v>
      </c>
      <c r="J16">
        <v>2</v>
      </c>
      <c r="K16">
        <v>1.5</v>
      </c>
      <c r="L16">
        <v>1</v>
      </c>
      <c r="M16">
        <v>10</v>
      </c>
      <c r="N16">
        <v>12</v>
      </c>
      <c r="P16">
        <v>450</v>
      </c>
      <c r="R16">
        <v>100</v>
      </c>
      <c r="S16">
        <v>1</v>
      </c>
      <c r="U16">
        <v>1000</v>
      </c>
      <c r="V16">
        <v>1</v>
      </c>
      <c r="W16">
        <v>60</v>
      </c>
      <c r="X16">
        <v>360</v>
      </c>
      <c r="Y16">
        <v>120</v>
      </c>
      <c r="Z16">
        <v>90</v>
      </c>
      <c r="AA16">
        <v>600</v>
      </c>
      <c r="AB16">
        <v>36</v>
      </c>
      <c r="AC16">
        <v>4</v>
      </c>
      <c r="AE16">
        <v>1.5</v>
      </c>
      <c r="AF16">
        <v>25</v>
      </c>
      <c r="AH16">
        <v>1</v>
      </c>
      <c r="AI16">
        <v>6</v>
      </c>
      <c r="AJ16">
        <v>300</v>
      </c>
      <c r="AK16">
        <v>100</v>
      </c>
      <c r="AL16">
        <v>4</v>
      </c>
      <c r="AM16">
        <v>3</v>
      </c>
      <c r="AN16">
        <v>1</v>
      </c>
      <c r="AO16">
        <v>7</v>
      </c>
      <c r="AP16">
        <v>140</v>
      </c>
    </row>
    <row r="17" spans="1:48">
      <c r="A17" s="17" t="s">
        <v>154</v>
      </c>
      <c r="C17">
        <v>1080</v>
      </c>
      <c r="D17">
        <v>180</v>
      </c>
      <c r="E17">
        <v>790</v>
      </c>
      <c r="F17">
        <v>480</v>
      </c>
      <c r="J17">
        <v>4</v>
      </c>
      <c r="K17">
        <v>15</v>
      </c>
      <c r="L17">
        <v>1</v>
      </c>
      <c r="M17">
        <v>18</v>
      </c>
      <c r="N17">
        <v>24</v>
      </c>
      <c r="O17">
        <v>500</v>
      </c>
      <c r="P17">
        <v>750</v>
      </c>
      <c r="Q17">
        <v>400</v>
      </c>
      <c r="R17">
        <v>300</v>
      </c>
      <c r="S17">
        <v>2</v>
      </c>
      <c r="U17">
        <v>2000</v>
      </c>
      <c r="V17">
        <v>1</v>
      </c>
      <c r="W17">
        <v>30</v>
      </c>
      <c r="X17">
        <v>1020</v>
      </c>
      <c r="Y17">
        <v>150</v>
      </c>
      <c r="Z17">
        <v>540</v>
      </c>
      <c r="AB17">
        <v>72</v>
      </c>
      <c r="AC17">
        <v>8</v>
      </c>
      <c r="AD17">
        <v>2</v>
      </c>
      <c r="AE17">
        <v>1</v>
      </c>
      <c r="AF17">
        <v>25</v>
      </c>
      <c r="AH17">
        <v>4</v>
      </c>
      <c r="AI17">
        <v>6</v>
      </c>
      <c r="AJ17">
        <v>300</v>
      </c>
      <c r="AK17">
        <v>200</v>
      </c>
      <c r="AL17">
        <v>18</v>
      </c>
      <c r="AM17">
        <v>13</v>
      </c>
      <c r="AO17">
        <v>4</v>
      </c>
      <c r="AP17">
        <v>180</v>
      </c>
      <c r="AV17">
        <v>100</v>
      </c>
    </row>
    <row r="18" spans="1:48">
      <c r="A18" s="17" t="s">
        <v>121</v>
      </c>
      <c r="C18">
        <v>1040</v>
      </c>
      <c r="D18">
        <v>132</v>
      </c>
      <c r="E18">
        <v>100</v>
      </c>
      <c r="F18">
        <v>72</v>
      </c>
      <c r="J18">
        <v>2</v>
      </c>
      <c r="K18">
        <v>4</v>
      </c>
      <c r="M18">
        <v>2</v>
      </c>
      <c r="N18">
        <v>12</v>
      </c>
      <c r="P18">
        <v>150</v>
      </c>
      <c r="X18">
        <v>660</v>
      </c>
      <c r="Z18">
        <v>360</v>
      </c>
      <c r="AF18">
        <v>25</v>
      </c>
      <c r="AI18">
        <v>2</v>
      </c>
      <c r="AJ18">
        <v>100</v>
      </c>
      <c r="AK18">
        <v>100</v>
      </c>
      <c r="AL18">
        <v>4</v>
      </c>
      <c r="AP18">
        <v>110</v>
      </c>
    </row>
    <row r="19" spans="1:48">
      <c r="A19" s="17" t="s">
        <v>132</v>
      </c>
      <c r="C19">
        <v>812</v>
      </c>
      <c r="D19">
        <v>92</v>
      </c>
      <c r="E19">
        <v>70</v>
      </c>
      <c r="F19">
        <v>96</v>
      </c>
      <c r="H19">
        <v>1</v>
      </c>
      <c r="M19">
        <v>14</v>
      </c>
      <c r="O19">
        <v>1000</v>
      </c>
      <c r="P19">
        <v>300</v>
      </c>
      <c r="Q19">
        <v>100</v>
      </c>
      <c r="U19">
        <v>1000</v>
      </c>
      <c r="V19">
        <v>1</v>
      </c>
      <c r="X19">
        <v>900</v>
      </c>
      <c r="Y19">
        <v>60</v>
      </c>
      <c r="Z19">
        <v>450</v>
      </c>
      <c r="AB19">
        <v>96</v>
      </c>
      <c r="AC19">
        <v>4</v>
      </c>
      <c r="AE19">
        <v>3</v>
      </c>
      <c r="AG19">
        <v>2</v>
      </c>
      <c r="AI19">
        <v>8</v>
      </c>
      <c r="AJ19">
        <v>100</v>
      </c>
      <c r="AK19">
        <v>100</v>
      </c>
      <c r="AL19">
        <v>4</v>
      </c>
      <c r="AM19">
        <v>10</v>
      </c>
      <c r="AP19">
        <v>70</v>
      </c>
      <c r="AS19">
        <v>1</v>
      </c>
    </row>
    <row r="20" spans="1:48">
      <c r="A20" s="17" t="s">
        <v>162</v>
      </c>
      <c r="B20">
        <v>10</v>
      </c>
      <c r="C20">
        <v>464</v>
      </c>
      <c r="D20">
        <v>60</v>
      </c>
      <c r="E20">
        <v>140</v>
      </c>
      <c r="F20">
        <v>144</v>
      </c>
      <c r="I20">
        <v>1</v>
      </c>
      <c r="J20">
        <v>2</v>
      </c>
      <c r="K20">
        <v>5</v>
      </c>
      <c r="M20">
        <v>12</v>
      </c>
      <c r="P20">
        <v>300</v>
      </c>
      <c r="S20">
        <v>0.5</v>
      </c>
      <c r="T20">
        <v>2</v>
      </c>
      <c r="X20">
        <v>300</v>
      </c>
      <c r="Y20">
        <v>60</v>
      </c>
      <c r="Z20">
        <v>270</v>
      </c>
      <c r="AB20">
        <v>36</v>
      </c>
      <c r="AH20">
        <v>1</v>
      </c>
      <c r="AI20">
        <v>3</v>
      </c>
      <c r="AL20">
        <v>8</v>
      </c>
      <c r="AM20">
        <v>3</v>
      </c>
      <c r="AO20">
        <v>3</v>
      </c>
      <c r="AP20">
        <v>50</v>
      </c>
    </row>
    <row r="21" spans="1:48">
      <c r="A21" s="17" t="s">
        <v>218</v>
      </c>
      <c r="B21">
        <v>10</v>
      </c>
      <c r="C21">
        <v>844</v>
      </c>
      <c r="D21">
        <v>128</v>
      </c>
      <c r="E21">
        <v>350</v>
      </c>
      <c r="F21">
        <v>336</v>
      </c>
      <c r="J21">
        <v>3</v>
      </c>
      <c r="K21">
        <v>9.5</v>
      </c>
      <c r="L21">
        <v>1</v>
      </c>
      <c r="M21">
        <v>6</v>
      </c>
      <c r="O21">
        <v>500</v>
      </c>
      <c r="P21">
        <v>600</v>
      </c>
      <c r="Q21">
        <v>200</v>
      </c>
      <c r="R21">
        <v>200</v>
      </c>
      <c r="S21">
        <v>1.5</v>
      </c>
      <c r="U21">
        <v>1000</v>
      </c>
      <c r="X21">
        <v>480</v>
      </c>
      <c r="Y21">
        <v>180</v>
      </c>
      <c r="Z21">
        <v>540</v>
      </c>
      <c r="AB21">
        <v>48</v>
      </c>
      <c r="AC21">
        <v>4</v>
      </c>
      <c r="AE21">
        <v>0.5</v>
      </c>
      <c r="AF21">
        <v>25</v>
      </c>
      <c r="AH21">
        <v>2</v>
      </c>
      <c r="AI21">
        <v>6</v>
      </c>
      <c r="AJ21">
        <v>100</v>
      </c>
      <c r="AK21">
        <v>100</v>
      </c>
      <c r="AL21">
        <v>10</v>
      </c>
      <c r="AM21">
        <v>5</v>
      </c>
      <c r="AN21">
        <v>0.5</v>
      </c>
      <c r="AO21">
        <v>1</v>
      </c>
      <c r="AP21">
        <v>150</v>
      </c>
    </row>
    <row r="22" spans="1:48">
      <c r="A22" s="17" t="s">
        <v>241</v>
      </c>
      <c r="C22">
        <v>1456</v>
      </c>
      <c r="D22">
        <v>164</v>
      </c>
      <c r="E22">
        <v>430</v>
      </c>
      <c r="F22">
        <v>312</v>
      </c>
      <c r="K22">
        <v>11</v>
      </c>
      <c r="L22">
        <v>1</v>
      </c>
      <c r="M22">
        <v>4</v>
      </c>
      <c r="N22">
        <v>24</v>
      </c>
      <c r="P22">
        <v>900</v>
      </c>
      <c r="Q22">
        <v>200</v>
      </c>
      <c r="R22">
        <v>100</v>
      </c>
      <c r="S22">
        <v>0.5</v>
      </c>
      <c r="U22">
        <v>2000</v>
      </c>
      <c r="X22">
        <v>1080</v>
      </c>
      <c r="Y22">
        <v>150</v>
      </c>
      <c r="Z22">
        <v>270</v>
      </c>
      <c r="AB22">
        <v>24</v>
      </c>
      <c r="AC22">
        <v>4</v>
      </c>
      <c r="AF22">
        <v>25</v>
      </c>
      <c r="AG22">
        <v>1</v>
      </c>
      <c r="AH22">
        <v>4</v>
      </c>
      <c r="AI22">
        <v>8</v>
      </c>
      <c r="AJ22">
        <v>100</v>
      </c>
      <c r="AK22">
        <v>100</v>
      </c>
      <c r="AL22">
        <v>12</v>
      </c>
      <c r="AM22">
        <v>5</v>
      </c>
      <c r="AP22">
        <v>160</v>
      </c>
      <c r="AS22">
        <v>3</v>
      </c>
    </row>
    <row r="23" spans="1:48">
      <c r="A23" s="17" t="s">
        <v>261</v>
      </c>
      <c r="C23">
        <v>384</v>
      </c>
      <c r="D23">
        <v>60</v>
      </c>
      <c r="E23">
        <v>140</v>
      </c>
      <c r="F23">
        <v>96</v>
      </c>
      <c r="K23">
        <v>6</v>
      </c>
      <c r="L23">
        <v>1</v>
      </c>
      <c r="M23">
        <v>6</v>
      </c>
      <c r="N23">
        <v>12</v>
      </c>
      <c r="P23">
        <v>300</v>
      </c>
      <c r="R23">
        <v>100</v>
      </c>
      <c r="S23">
        <v>0.5</v>
      </c>
      <c r="X23">
        <v>240</v>
      </c>
      <c r="Y23">
        <v>90</v>
      </c>
      <c r="Z23">
        <v>270</v>
      </c>
      <c r="AB23">
        <v>36</v>
      </c>
      <c r="AF23">
        <v>25</v>
      </c>
      <c r="AH23">
        <v>2</v>
      </c>
      <c r="AI23">
        <v>4</v>
      </c>
      <c r="AJ23">
        <v>100</v>
      </c>
      <c r="AK23">
        <v>100</v>
      </c>
      <c r="AL23">
        <v>6</v>
      </c>
      <c r="AM23">
        <v>2</v>
      </c>
      <c r="AO23">
        <v>1</v>
      </c>
      <c r="AP23">
        <v>60</v>
      </c>
    </row>
    <row r="24" spans="1:48">
      <c r="A24" s="17" t="s">
        <v>214</v>
      </c>
      <c r="C24">
        <v>680</v>
      </c>
      <c r="D24">
        <v>52</v>
      </c>
      <c r="E24">
        <v>180</v>
      </c>
      <c r="F24">
        <v>120</v>
      </c>
      <c r="K24">
        <v>6</v>
      </c>
      <c r="M24">
        <v>8</v>
      </c>
      <c r="N24">
        <v>12</v>
      </c>
      <c r="P24">
        <v>600</v>
      </c>
      <c r="Q24">
        <v>100</v>
      </c>
      <c r="R24">
        <v>100</v>
      </c>
      <c r="S24">
        <v>0.5</v>
      </c>
      <c r="U24">
        <v>1000</v>
      </c>
      <c r="X24">
        <v>480</v>
      </c>
      <c r="Y24">
        <v>90</v>
      </c>
      <c r="Z24">
        <v>360</v>
      </c>
      <c r="AB24">
        <v>24</v>
      </c>
      <c r="AC24">
        <v>4</v>
      </c>
      <c r="AH24">
        <v>3</v>
      </c>
      <c r="AI24">
        <v>4</v>
      </c>
      <c r="AJ24">
        <v>200</v>
      </c>
      <c r="AL24">
        <v>8</v>
      </c>
      <c r="AM24">
        <v>2</v>
      </c>
      <c r="AO24">
        <v>4</v>
      </c>
      <c r="AP24">
        <v>60</v>
      </c>
    </row>
    <row r="25" spans="1:48">
      <c r="A25" s="17" t="s">
        <v>164</v>
      </c>
      <c r="C25">
        <v>1436</v>
      </c>
      <c r="D25">
        <v>176</v>
      </c>
      <c r="E25">
        <v>410</v>
      </c>
      <c r="F25">
        <v>360</v>
      </c>
      <c r="K25">
        <v>12</v>
      </c>
      <c r="L25">
        <v>2</v>
      </c>
      <c r="M25">
        <v>12</v>
      </c>
      <c r="N25">
        <v>12</v>
      </c>
      <c r="O25">
        <v>500</v>
      </c>
      <c r="P25">
        <v>1050</v>
      </c>
      <c r="Q25">
        <v>300</v>
      </c>
      <c r="R25">
        <v>200</v>
      </c>
      <c r="S25">
        <v>1</v>
      </c>
      <c r="U25">
        <v>2000</v>
      </c>
      <c r="V25">
        <v>1</v>
      </c>
      <c r="X25">
        <v>1140</v>
      </c>
      <c r="Y25">
        <v>210</v>
      </c>
      <c r="Z25">
        <v>540</v>
      </c>
      <c r="AB25">
        <v>72</v>
      </c>
      <c r="AC25">
        <v>8</v>
      </c>
      <c r="AD25">
        <v>2</v>
      </c>
      <c r="AF25">
        <v>25</v>
      </c>
      <c r="AH25">
        <v>3</v>
      </c>
      <c r="AI25">
        <v>10</v>
      </c>
      <c r="AJ25">
        <v>200</v>
      </c>
      <c r="AK25">
        <v>200</v>
      </c>
      <c r="AL25">
        <v>18</v>
      </c>
      <c r="AM25">
        <v>6</v>
      </c>
      <c r="AO25">
        <v>2</v>
      </c>
      <c r="AP25">
        <v>180</v>
      </c>
    </row>
    <row r="26" spans="1:48">
      <c r="A26" s="17" t="s">
        <v>206</v>
      </c>
      <c r="C26">
        <v>828</v>
      </c>
      <c r="D26">
        <v>76</v>
      </c>
      <c r="E26">
        <v>210</v>
      </c>
      <c r="F26">
        <v>336</v>
      </c>
      <c r="J26">
        <v>1</v>
      </c>
      <c r="K26">
        <v>4</v>
      </c>
      <c r="L26">
        <v>1</v>
      </c>
      <c r="M26">
        <v>6</v>
      </c>
      <c r="P26">
        <v>600</v>
      </c>
      <c r="R26">
        <v>100</v>
      </c>
      <c r="S26">
        <v>1</v>
      </c>
      <c r="U26">
        <v>1000</v>
      </c>
      <c r="X26">
        <v>600</v>
      </c>
      <c r="Y26">
        <v>90</v>
      </c>
      <c r="Z26">
        <v>360</v>
      </c>
      <c r="AB26">
        <v>36</v>
      </c>
      <c r="AC26">
        <v>4</v>
      </c>
      <c r="AF26">
        <v>25</v>
      </c>
      <c r="AH26">
        <v>2</v>
      </c>
      <c r="AI26">
        <v>6</v>
      </c>
      <c r="AJ26">
        <v>100</v>
      </c>
      <c r="AK26">
        <v>100</v>
      </c>
      <c r="AL26">
        <v>8</v>
      </c>
      <c r="AM26">
        <v>5</v>
      </c>
      <c r="AO26">
        <v>8</v>
      </c>
      <c r="AP26">
        <v>110</v>
      </c>
      <c r="AT26">
        <v>1</v>
      </c>
      <c r="AV26">
        <v>100</v>
      </c>
    </row>
    <row r="27" spans="1:48">
      <c r="A27" s="17" t="s">
        <v>239</v>
      </c>
      <c r="B27">
        <v>10</v>
      </c>
      <c r="C27">
        <v>1480</v>
      </c>
      <c r="D27">
        <v>176</v>
      </c>
      <c r="E27">
        <v>340</v>
      </c>
      <c r="F27">
        <v>480</v>
      </c>
      <c r="J27">
        <v>6</v>
      </c>
      <c r="K27">
        <v>26</v>
      </c>
      <c r="L27">
        <v>1</v>
      </c>
      <c r="M27">
        <v>22</v>
      </c>
      <c r="N27">
        <v>24</v>
      </c>
      <c r="O27">
        <v>1000</v>
      </c>
      <c r="P27">
        <v>1050</v>
      </c>
      <c r="Q27">
        <v>200</v>
      </c>
      <c r="R27">
        <v>300</v>
      </c>
      <c r="S27">
        <v>4</v>
      </c>
      <c r="U27">
        <v>3000</v>
      </c>
      <c r="V27">
        <v>1</v>
      </c>
      <c r="W27">
        <v>60</v>
      </c>
      <c r="X27">
        <v>1140</v>
      </c>
      <c r="Y27">
        <v>240</v>
      </c>
      <c r="Z27">
        <v>720</v>
      </c>
      <c r="AA27">
        <v>100</v>
      </c>
      <c r="AB27">
        <v>108</v>
      </c>
      <c r="AC27">
        <v>12</v>
      </c>
      <c r="AD27">
        <v>3</v>
      </c>
      <c r="AE27">
        <v>1.5</v>
      </c>
      <c r="AF27">
        <v>75</v>
      </c>
      <c r="AH27">
        <v>3</v>
      </c>
      <c r="AI27">
        <v>10</v>
      </c>
      <c r="AJ27">
        <v>100</v>
      </c>
      <c r="AK27">
        <v>300</v>
      </c>
      <c r="AL27">
        <v>20</v>
      </c>
      <c r="AM27">
        <v>11</v>
      </c>
      <c r="AN27">
        <v>0.5</v>
      </c>
      <c r="AO27">
        <v>10</v>
      </c>
      <c r="AP27">
        <v>160</v>
      </c>
      <c r="AV27">
        <v>100</v>
      </c>
    </row>
    <row r="28" spans="1:48">
      <c r="A28" s="17" t="s">
        <v>158</v>
      </c>
      <c r="B28">
        <v>10</v>
      </c>
      <c r="C28">
        <v>1956</v>
      </c>
      <c r="D28">
        <v>368</v>
      </c>
      <c r="E28">
        <v>350</v>
      </c>
      <c r="F28">
        <v>624</v>
      </c>
      <c r="J28">
        <v>3</v>
      </c>
      <c r="K28">
        <v>2</v>
      </c>
      <c r="L28">
        <v>2</v>
      </c>
      <c r="M28">
        <v>16</v>
      </c>
      <c r="N28">
        <v>48</v>
      </c>
      <c r="O28">
        <v>500</v>
      </c>
      <c r="P28">
        <v>1200</v>
      </c>
      <c r="R28">
        <v>300</v>
      </c>
      <c r="S28">
        <v>3</v>
      </c>
      <c r="U28">
        <v>3000</v>
      </c>
      <c r="V28">
        <v>1</v>
      </c>
      <c r="X28">
        <v>1680</v>
      </c>
      <c r="Y28">
        <v>150</v>
      </c>
      <c r="Z28">
        <v>630</v>
      </c>
      <c r="AB28">
        <v>60</v>
      </c>
      <c r="AC28">
        <v>12</v>
      </c>
      <c r="AD28">
        <v>5</v>
      </c>
      <c r="AE28">
        <v>3</v>
      </c>
      <c r="AF28">
        <v>25</v>
      </c>
      <c r="AH28">
        <v>5</v>
      </c>
      <c r="AI28">
        <v>14</v>
      </c>
      <c r="AJ28">
        <v>300</v>
      </c>
      <c r="AK28">
        <v>300</v>
      </c>
      <c r="AL28">
        <v>18</v>
      </c>
      <c r="AM28">
        <v>6</v>
      </c>
      <c r="AN28">
        <v>1</v>
      </c>
      <c r="AP28">
        <v>330</v>
      </c>
      <c r="AV28">
        <v>100</v>
      </c>
    </row>
    <row r="29" spans="1:48">
      <c r="A29" s="17" t="s">
        <v>208</v>
      </c>
      <c r="C29">
        <v>1800</v>
      </c>
      <c r="D29">
        <v>128</v>
      </c>
      <c r="E29">
        <v>120</v>
      </c>
      <c r="F29">
        <v>96</v>
      </c>
      <c r="J29">
        <v>5</v>
      </c>
      <c r="K29">
        <v>7</v>
      </c>
      <c r="L29">
        <v>1</v>
      </c>
      <c r="M29">
        <v>12</v>
      </c>
      <c r="N29">
        <v>12</v>
      </c>
      <c r="O29">
        <v>500</v>
      </c>
      <c r="P29">
        <v>1200</v>
      </c>
      <c r="S29">
        <v>0.5</v>
      </c>
      <c r="T29">
        <v>1</v>
      </c>
      <c r="U29">
        <v>2000</v>
      </c>
      <c r="V29">
        <v>1</v>
      </c>
      <c r="X29">
        <v>1200</v>
      </c>
      <c r="Y29">
        <v>120</v>
      </c>
      <c r="Z29">
        <v>720</v>
      </c>
      <c r="AA29">
        <v>100</v>
      </c>
      <c r="AB29">
        <v>120</v>
      </c>
      <c r="AC29">
        <v>8</v>
      </c>
      <c r="AH29">
        <v>1</v>
      </c>
      <c r="AI29">
        <v>8</v>
      </c>
      <c r="AJ29">
        <v>100</v>
      </c>
      <c r="AK29">
        <v>200</v>
      </c>
      <c r="AL29">
        <v>12</v>
      </c>
      <c r="AM29">
        <v>7</v>
      </c>
      <c r="AO29">
        <v>1</v>
      </c>
      <c r="AP29">
        <v>130</v>
      </c>
    </row>
    <row r="30" spans="1:48">
      <c r="A30" s="17" t="s">
        <v>277</v>
      </c>
      <c r="C30">
        <v>820</v>
      </c>
      <c r="D30">
        <v>84</v>
      </c>
      <c r="E30">
        <v>140</v>
      </c>
      <c r="F30">
        <v>96</v>
      </c>
      <c r="J30">
        <v>2</v>
      </c>
      <c r="K30">
        <v>8</v>
      </c>
      <c r="M30">
        <v>16</v>
      </c>
      <c r="O30">
        <v>500</v>
      </c>
      <c r="P30">
        <v>600</v>
      </c>
      <c r="R30">
        <v>100</v>
      </c>
      <c r="U30">
        <v>1000</v>
      </c>
      <c r="V30">
        <v>1</v>
      </c>
      <c r="X30">
        <v>660</v>
      </c>
      <c r="Y30">
        <v>90</v>
      </c>
      <c r="Z30">
        <v>180</v>
      </c>
      <c r="AB30">
        <v>12</v>
      </c>
      <c r="AC30">
        <v>4</v>
      </c>
      <c r="AE30">
        <v>0.5</v>
      </c>
      <c r="AH30">
        <v>2</v>
      </c>
      <c r="AI30">
        <v>5</v>
      </c>
      <c r="AJ30">
        <v>100</v>
      </c>
      <c r="AK30">
        <v>100</v>
      </c>
      <c r="AL30">
        <v>8</v>
      </c>
      <c r="AM30">
        <v>7</v>
      </c>
      <c r="AO30">
        <v>5</v>
      </c>
      <c r="AP30">
        <v>90</v>
      </c>
    </row>
    <row r="31" spans="1:48">
      <c r="A31" s="17" t="s">
        <v>176</v>
      </c>
      <c r="C31">
        <v>720</v>
      </c>
      <c r="D31">
        <v>80</v>
      </c>
      <c r="E31">
        <v>60</v>
      </c>
      <c r="F31">
        <v>168</v>
      </c>
      <c r="M31">
        <v>10</v>
      </c>
      <c r="N31">
        <v>12</v>
      </c>
      <c r="O31">
        <v>500</v>
      </c>
      <c r="P31">
        <v>600</v>
      </c>
      <c r="Q31">
        <v>100</v>
      </c>
      <c r="R31">
        <v>100</v>
      </c>
      <c r="S31">
        <v>1</v>
      </c>
      <c r="U31">
        <v>1000</v>
      </c>
      <c r="V31">
        <v>1</v>
      </c>
      <c r="W31">
        <v>30</v>
      </c>
      <c r="X31">
        <v>600</v>
      </c>
      <c r="Y31">
        <v>120</v>
      </c>
      <c r="Z31">
        <v>180</v>
      </c>
      <c r="AA31">
        <v>100</v>
      </c>
      <c r="AB31">
        <v>72</v>
      </c>
      <c r="AC31">
        <v>4</v>
      </c>
      <c r="AD31">
        <v>1</v>
      </c>
      <c r="AE31">
        <v>1</v>
      </c>
      <c r="AH31">
        <v>1</v>
      </c>
      <c r="AI31">
        <v>4</v>
      </c>
      <c r="AK31">
        <v>100</v>
      </c>
      <c r="AL31">
        <v>10</v>
      </c>
      <c r="AM31">
        <v>3</v>
      </c>
      <c r="AN31">
        <v>0.5</v>
      </c>
      <c r="AO31">
        <v>1</v>
      </c>
      <c r="AP31">
        <v>90</v>
      </c>
    </row>
    <row r="32" spans="1:48">
      <c r="A32" s="17" t="s">
        <v>188</v>
      </c>
      <c r="B32">
        <v>30</v>
      </c>
      <c r="C32">
        <v>3672</v>
      </c>
      <c r="D32">
        <v>696</v>
      </c>
      <c r="E32">
        <v>210</v>
      </c>
      <c r="F32">
        <v>408</v>
      </c>
      <c r="K32">
        <v>6</v>
      </c>
      <c r="L32">
        <v>2</v>
      </c>
      <c r="M32">
        <v>12</v>
      </c>
      <c r="N32">
        <v>48</v>
      </c>
      <c r="O32">
        <v>1500</v>
      </c>
      <c r="P32">
        <v>2400</v>
      </c>
      <c r="R32">
        <v>300</v>
      </c>
      <c r="S32">
        <v>3.5</v>
      </c>
      <c r="U32">
        <v>2000</v>
      </c>
      <c r="W32">
        <v>90</v>
      </c>
      <c r="X32">
        <v>2880</v>
      </c>
      <c r="Y32">
        <v>240</v>
      </c>
      <c r="Z32">
        <v>1080</v>
      </c>
      <c r="AB32">
        <v>36</v>
      </c>
      <c r="AC32">
        <v>8</v>
      </c>
      <c r="AD32">
        <v>1</v>
      </c>
      <c r="AE32">
        <v>1.5</v>
      </c>
      <c r="AF32">
        <v>25</v>
      </c>
      <c r="AH32">
        <v>3</v>
      </c>
      <c r="AI32">
        <v>5</v>
      </c>
      <c r="AJ32">
        <v>100</v>
      </c>
      <c r="AK32">
        <v>700</v>
      </c>
      <c r="AL32">
        <v>6</v>
      </c>
      <c r="AM32">
        <v>18</v>
      </c>
      <c r="AO32">
        <v>2</v>
      </c>
      <c r="AP32">
        <v>740</v>
      </c>
      <c r="AS32">
        <v>5</v>
      </c>
      <c r="AV32">
        <v>100</v>
      </c>
    </row>
    <row r="33" spans="1:50">
      <c r="A33" s="17" t="s">
        <v>152</v>
      </c>
      <c r="C33">
        <v>980</v>
      </c>
      <c r="D33">
        <v>60</v>
      </c>
      <c r="E33">
        <v>50</v>
      </c>
      <c r="H33">
        <v>1</v>
      </c>
      <c r="M33">
        <v>14</v>
      </c>
      <c r="N33">
        <v>12</v>
      </c>
      <c r="P33">
        <v>750</v>
      </c>
      <c r="U33">
        <v>1000</v>
      </c>
      <c r="X33">
        <v>780</v>
      </c>
      <c r="Y33">
        <v>90</v>
      </c>
      <c r="Z33">
        <v>270</v>
      </c>
      <c r="AA33">
        <v>100</v>
      </c>
      <c r="AB33">
        <v>84</v>
      </c>
      <c r="AC33">
        <v>4</v>
      </c>
      <c r="AE33">
        <v>0.5</v>
      </c>
      <c r="AF33">
        <v>25</v>
      </c>
      <c r="AH33">
        <v>1</v>
      </c>
      <c r="AI33">
        <v>4</v>
      </c>
      <c r="AK33">
        <v>100</v>
      </c>
      <c r="AL33">
        <v>8</v>
      </c>
      <c r="AM33">
        <v>3</v>
      </c>
      <c r="AO33">
        <v>1</v>
      </c>
      <c r="AP33">
        <v>50</v>
      </c>
    </row>
    <row r="34" spans="1:50">
      <c r="A34" s="17" t="s">
        <v>134</v>
      </c>
      <c r="C34">
        <v>916</v>
      </c>
      <c r="D34">
        <v>104</v>
      </c>
      <c r="E34">
        <v>150</v>
      </c>
      <c r="F34">
        <v>168</v>
      </c>
      <c r="J34">
        <v>4</v>
      </c>
      <c r="K34">
        <v>12</v>
      </c>
      <c r="M34">
        <v>10</v>
      </c>
      <c r="N34">
        <v>12</v>
      </c>
      <c r="O34">
        <v>500</v>
      </c>
      <c r="P34">
        <v>750</v>
      </c>
      <c r="Q34">
        <v>100</v>
      </c>
      <c r="S34">
        <v>0.5</v>
      </c>
      <c r="U34">
        <v>1000</v>
      </c>
      <c r="X34">
        <v>720</v>
      </c>
      <c r="Y34">
        <v>150</v>
      </c>
      <c r="Z34">
        <v>270</v>
      </c>
      <c r="AB34">
        <v>36</v>
      </c>
      <c r="AC34">
        <v>4</v>
      </c>
      <c r="AD34">
        <v>1</v>
      </c>
      <c r="AE34">
        <v>0.5</v>
      </c>
      <c r="AH34">
        <v>1</v>
      </c>
      <c r="AI34">
        <v>4</v>
      </c>
      <c r="AK34">
        <v>100</v>
      </c>
      <c r="AL34">
        <v>8</v>
      </c>
      <c r="AM34">
        <v>4</v>
      </c>
      <c r="AN34">
        <v>0.5</v>
      </c>
      <c r="AP34">
        <v>110</v>
      </c>
      <c r="AS34">
        <v>1</v>
      </c>
    </row>
    <row r="35" spans="1:50">
      <c r="A35" s="17" t="s">
        <v>123</v>
      </c>
      <c r="C35">
        <v>588</v>
      </c>
      <c r="D35">
        <v>52</v>
      </c>
      <c r="E35">
        <v>220</v>
      </c>
      <c r="F35">
        <v>144</v>
      </c>
      <c r="J35">
        <v>2</v>
      </c>
      <c r="K35">
        <v>11</v>
      </c>
      <c r="M35">
        <v>6</v>
      </c>
      <c r="O35">
        <v>500</v>
      </c>
      <c r="P35">
        <v>300</v>
      </c>
      <c r="Q35">
        <v>100</v>
      </c>
      <c r="S35">
        <v>0.5</v>
      </c>
      <c r="X35">
        <v>300</v>
      </c>
      <c r="Y35">
        <v>180</v>
      </c>
      <c r="Z35">
        <v>270</v>
      </c>
      <c r="AB35">
        <v>12</v>
      </c>
      <c r="AE35">
        <v>1.5</v>
      </c>
      <c r="AH35">
        <v>1</v>
      </c>
      <c r="AI35">
        <v>3</v>
      </c>
      <c r="AJ35">
        <v>100</v>
      </c>
      <c r="AL35">
        <v>8</v>
      </c>
      <c r="AM35">
        <v>11</v>
      </c>
      <c r="AN35">
        <v>0.5</v>
      </c>
      <c r="AP35">
        <v>50</v>
      </c>
    </row>
    <row r="36" spans="1:50">
      <c r="A36" s="17" t="s">
        <v>196</v>
      </c>
      <c r="C36">
        <v>1224</v>
      </c>
      <c r="D36">
        <v>176</v>
      </c>
      <c r="E36">
        <v>160</v>
      </c>
      <c r="F36">
        <v>336</v>
      </c>
      <c r="K36">
        <v>2</v>
      </c>
      <c r="M36">
        <v>18</v>
      </c>
      <c r="P36">
        <v>600</v>
      </c>
      <c r="U36">
        <v>2000</v>
      </c>
      <c r="V36">
        <v>1</v>
      </c>
      <c r="X36">
        <v>780</v>
      </c>
      <c r="Y36">
        <v>90</v>
      </c>
      <c r="Z36">
        <v>90</v>
      </c>
      <c r="AB36">
        <v>48</v>
      </c>
      <c r="AC36">
        <v>8</v>
      </c>
      <c r="AE36">
        <v>2.5</v>
      </c>
      <c r="AG36">
        <v>3</v>
      </c>
      <c r="AI36">
        <v>5</v>
      </c>
      <c r="AK36">
        <v>200</v>
      </c>
      <c r="AL36">
        <v>4</v>
      </c>
      <c r="AM36">
        <v>9</v>
      </c>
      <c r="AO36">
        <v>1</v>
      </c>
      <c r="AP36">
        <v>110</v>
      </c>
      <c r="AS36">
        <v>2</v>
      </c>
    </row>
    <row r="37" spans="1:50">
      <c r="A37" s="17" t="s">
        <v>160</v>
      </c>
      <c r="B37">
        <v>10</v>
      </c>
      <c r="C37">
        <v>2152</v>
      </c>
      <c r="D37">
        <v>380</v>
      </c>
      <c r="E37">
        <v>130</v>
      </c>
      <c r="F37">
        <v>192</v>
      </c>
      <c r="I37">
        <v>1</v>
      </c>
      <c r="K37">
        <v>16</v>
      </c>
      <c r="L37">
        <v>1</v>
      </c>
      <c r="M37">
        <v>32</v>
      </c>
      <c r="N37">
        <v>24</v>
      </c>
      <c r="O37">
        <v>500</v>
      </c>
      <c r="P37">
        <v>1650</v>
      </c>
      <c r="Q37">
        <v>100</v>
      </c>
      <c r="S37">
        <v>1.5</v>
      </c>
      <c r="T37">
        <v>2</v>
      </c>
      <c r="U37">
        <v>2000</v>
      </c>
      <c r="V37">
        <v>2</v>
      </c>
      <c r="X37">
        <v>1740</v>
      </c>
      <c r="Y37">
        <v>120</v>
      </c>
      <c r="Z37">
        <v>630</v>
      </c>
      <c r="AB37">
        <v>108</v>
      </c>
      <c r="AC37">
        <v>8</v>
      </c>
      <c r="AD37">
        <v>1</v>
      </c>
      <c r="AE37">
        <v>0.5</v>
      </c>
      <c r="AF37">
        <v>25</v>
      </c>
      <c r="AH37">
        <v>3</v>
      </c>
      <c r="AI37">
        <v>14</v>
      </c>
      <c r="AK37">
        <v>400</v>
      </c>
      <c r="AL37">
        <v>18</v>
      </c>
      <c r="AM37">
        <v>6</v>
      </c>
      <c r="AO37">
        <v>1</v>
      </c>
      <c r="AP37">
        <v>360</v>
      </c>
    </row>
    <row r="38" spans="1:50">
      <c r="A38" s="17" t="s">
        <v>170</v>
      </c>
      <c r="C38">
        <v>704</v>
      </c>
      <c r="D38">
        <v>72</v>
      </c>
      <c r="E38">
        <v>140</v>
      </c>
      <c r="F38">
        <v>144</v>
      </c>
      <c r="K38">
        <v>12</v>
      </c>
      <c r="L38">
        <v>1</v>
      </c>
      <c r="M38">
        <v>12</v>
      </c>
      <c r="N38">
        <v>12</v>
      </c>
      <c r="P38">
        <v>600</v>
      </c>
      <c r="Q38">
        <v>100</v>
      </c>
      <c r="R38">
        <v>100</v>
      </c>
      <c r="S38">
        <v>0.5</v>
      </c>
      <c r="U38">
        <v>1000</v>
      </c>
      <c r="V38">
        <v>1</v>
      </c>
      <c r="X38">
        <v>660</v>
      </c>
      <c r="Y38">
        <v>120</v>
      </c>
      <c r="Z38">
        <v>270</v>
      </c>
      <c r="AB38">
        <v>24</v>
      </c>
      <c r="AC38">
        <v>4</v>
      </c>
      <c r="AH38">
        <v>4</v>
      </c>
      <c r="AI38">
        <v>9</v>
      </c>
      <c r="AK38">
        <v>100</v>
      </c>
      <c r="AL38">
        <v>8</v>
      </c>
      <c r="AM38">
        <v>3</v>
      </c>
      <c r="AO38">
        <v>1</v>
      </c>
      <c r="AP38">
        <v>90</v>
      </c>
    </row>
    <row r="39" spans="1:50">
      <c r="A39" s="17" t="s">
        <v>237</v>
      </c>
      <c r="C39">
        <v>1040</v>
      </c>
      <c r="D39">
        <v>132</v>
      </c>
      <c r="E39">
        <v>270</v>
      </c>
      <c r="F39">
        <v>312</v>
      </c>
      <c r="J39">
        <v>6</v>
      </c>
      <c r="K39">
        <v>11</v>
      </c>
      <c r="L39">
        <v>2</v>
      </c>
      <c r="M39">
        <v>24</v>
      </c>
      <c r="O39">
        <v>500</v>
      </c>
      <c r="P39">
        <v>600</v>
      </c>
      <c r="R39">
        <v>300</v>
      </c>
      <c r="S39">
        <v>2</v>
      </c>
      <c r="U39">
        <v>1000</v>
      </c>
      <c r="X39">
        <v>660</v>
      </c>
      <c r="Y39">
        <v>240</v>
      </c>
      <c r="Z39">
        <v>450</v>
      </c>
      <c r="AB39">
        <v>72</v>
      </c>
      <c r="AC39">
        <v>4</v>
      </c>
      <c r="AE39">
        <v>1.5</v>
      </c>
      <c r="AF39">
        <v>25</v>
      </c>
      <c r="AH39">
        <v>1</v>
      </c>
      <c r="AI39">
        <v>6</v>
      </c>
      <c r="AJ39">
        <v>300</v>
      </c>
      <c r="AK39">
        <v>100</v>
      </c>
      <c r="AL39">
        <v>12</v>
      </c>
      <c r="AM39">
        <v>4</v>
      </c>
      <c r="AO39">
        <v>23</v>
      </c>
      <c r="AP39">
        <v>110</v>
      </c>
    </row>
    <row r="40" spans="1:50">
      <c r="A40" s="17" t="s">
        <v>202</v>
      </c>
      <c r="B40">
        <v>10</v>
      </c>
      <c r="C40">
        <v>1828</v>
      </c>
      <c r="D40">
        <v>136</v>
      </c>
      <c r="E40">
        <v>350</v>
      </c>
      <c r="F40">
        <v>144</v>
      </c>
      <c r="K40">
        <v>8</v>
      </c>
      <c r="L40">
        <v>1</v>
      </c>
      <c r="M40">
        <v>32</v>
      </c>
      <c r="N40">
        <v>24</v>
      </c>
      <c r="O40">
        <v>500</v>
      </c>
      <c r="P40">
        <v>1350</v>
      </c>
      <c r="Q40">
        <v>200</v>
      </c>
      <c r="S40">
        <v>1</v>
      </c>
      <c r="U40">
        <v>2000</v>
      </c>
      <c r="V40">
        <v>1</v>
      </c>
      <c r="X40">
        <v>1380</v>
      </c>
      <c r="Y40">
        <v>150</v>
      </c>
      <c r="Z40">
        <v>450</v>
      </c>
      <c r="AB40">
        <v>72</v>
      </c>
      <c r="AC40">
        <v>8</v>
      </c>
      <c r="AD40">
        <v>1</v>
      </c>
      <c r="AH40">
        <v>3</v>
      </c>
      <c r="AI40">
        <v>6</v>
      </c>
      <c r="AK40">
        <v>100</v>
      </c>
      <c r="AL40">
        <v>10</v>
      </c>
      <c r="AM40">
        <v>10</v>
      </c>
      <c r="AO40">
        <v>3</v>
      </c>
      <c r="AP40">
        <v>250</v>
      </c>
    </row>
    <row r="41" spans="1:50">
      <c r="A41" s="17" t="s">
        <v>178</v>
      </c>
      <c r="C41">
        <v>892</v>
      </c>
      <c r="D41">
        <v>76</v>
      </c>
      <c r="E41">
        <v>210</v>
      </c>
      <c r="F41">
        <v>96</v>
      </c>
      <c r="H41">
        <v>1</v>
      </c>
      <c r="J41">
        <v>1</v>
      </c>
      <c r="K41">
        <v>5</v>
      </c>
      <c r="L41">
        <v>1</v>
      </c>
      <c r="M41">
        <v>10</v>
      </c>
      <c r="N41">
        <v>24</v>
      </c>
      <c r="O41">
        <v>500</v>
      </c>
      <c r="P41">
        <v>450</v>
      </c>
      <c r="Q41">
        <v>200</v>
      </c>
      <c r="R41">
        <v>100</v>
      </c>
      <c r="U41">
        <v>1000</v>
      </c>
      <c r="X41">
        <v>540</v>
      </c>
      <c r="Y41">
        <v>150</v>
      </c>
      <c r="Z41">
        <v>450</v>
      </c>
      <c r="AB41">
        <v>60</v>
      </c>
      <c r="AC41">
        <v>4</v>
      </c>
      <c r="AF41">
        <v>25</v>
      </c>
      <c r="AH41">
        <v>2</v>
      </c>
      <c r="AI41">
        <v>6</v>
      </c>
      <c r="AJ41">
        <v>100</v>
      </c>
      <c r="AK41">
        <v>100</v>
      </c>
      <c r="AL41">
        <v>10</v>
      </c>
      <c r="AM41">
        <v>5</v>
      </c>
      <c r="AO41">
        <v>7</v>
      </c>
      <c r="AP41">
        <v>70</v>
      </c>
    </row>
    <row r="42" spans="1:50">
      <c r="A42" s="17" t="s">
        <v>182</v>
      </c>
      <c r="B42">
        <v>10</v>
      </c>
      <c r="C42">
        <v>364</v>
      </c>
      <c r="D42">
        <v>52</v>
      </c>
      <c r="E42">
        <v>150</v>
      </c>
      <c r="F42">
        <v>72</v>
      </c>
      <c r="J42">
        <v>1</v>
      </c>
      <c r="K42">
        <v>5</v>
      </c>
      <c r="M42">
        <v>12</v>
      </c>
      <c r="P42">
        <v>300</v>
      </c>
      <c r="Q42">
        <v>100</v>
      </c>
      <c r="S42">
        <v>0.5</v>
      </c>
      <c r="U42">
        <v>1000</v>
      </c>
      <c r="W42">
        <v>30</v>
      </c>
      <c r="X42">
        <v>180</v>
      </c>
      <c r="Y42">
        <v>90</v>
      </c>
      <c r="Z42">
        <v>180</v>
      </c>
      <c r="AB42">
        <v>12</v>
      </c>
      <c r="AC42">
        <v>4</v>
      </c>
      <c r="AE42">
        <v>1.5</v>
      </c>
      <c r="AG42">
        <v>1</v>
      </c>
      <c r="AH42">
        <v>1</v>
      </c>
      <c r="AI42">
        <v>5</v>
      </c>
      <c r="AJ42">
        <v>100</v>
      </c>
      <c r="AL42">
        <v>6</v>
      </c>
      <c r="AM42">
        <v>1</v>
      </c>
      <c r="AN42">
        <v>0.5</v>
      </c>
      <c r="AO42">
        <v>4</v>
      </c>
      <c r="AP42">
        <v>30</v>
      </c>
    </row>
    <row r="43" spans="1:50">
      <c r="A43" s="17" t="s">
        <v>194</v>
      </c>
      <c r="B43">
        <v>10</v>
      </c>
      <c r="C43">
        <v>1272</v>
      </c>
      <c r="D43">
        <v>124</v>
      </c>
      <c r="E43">
        <v>270</v>
      </c>
      <c r="F43">
        <v>312</v>
      </c>
      <c r="K43">
        <v>12.5</v>
      </c>
      <c r="L43">
        <v>1</v>
      </c>
      <c r="M43">
        <v>18</v>
      </c>
      <c r="O43">
        <v>1000</v>
      </c>
      <c r="P43">
        <v>600</v>
      </c>
      <c r="Q43">
        <v>200</v>
      </c>
      <c r="R43">
        <v>200</v>
      </c>
      <c r="S43">
        <v>2</v>
      </c>
      <c r="U43">
        <v>3000</v>
      </c>
      <c r="X43">
        <v>960</v>
      </c>
      <c r="Y43">
        <v>210</v>
      </c>
      <c r="Z43">
        <v>720</v>
      </c>
      <c r="AB43">
        <v>48</v>
      </c>
      <c r="AC43">
        <v>12</v>
      </c>
      <c r="AD43">
        <v>1</v>
      </c>
      <c r="AE43">
        <v>1</v>
      </c>
      <c r="AI43">
        <v>6</v>
      </c>
      <c r="AJ43">
        <v>200</v>
      </c>
      <c r="AK43">
        <v>100</v>
      </c>
      <c r="AL43">
        <v>12</v>
      </c>
      <c r="AM43">
        <v>15</v>
      </c>
      <c r="AO43">
        <v>14</v>
      </c>
      <c r="AP43">
        <v>120</v>
      </c>
    </row>
    <row r="44" spans="1:50">
      <c r="A44" s="17" t="s">
        <v>130</v>
      </c>
      <c r="C44">
        <v>832</v>
      </c>
      <c r="D44">
        <v>124</v>
      </c>
      <c r="E44">
        <v>430</v>
      </c>
      <c r="F44">
        <v>240</v>
      </c>
      <c r="H44">
        <v>1</v>
      </c>
      <c r="K44">
        <v>16.5</v>
      </c>
      <c r="L44">
        <v>2</v>
      </c>
      <c r="M44">
        <v>14</v>
      </c>
      <c r="N44">
        <v>12</v>
      </c>
      <c r="O44">
        <v>500</v>
      </c>
      <c r="P44">
        <v>600</v>
      </c>
      <c r="Q44">
        <v>200</v>
      </c>
      <c r="R44">
        <v>100</v>
      </c>
      <c r="S44">
        <v>1.5</v>
      </c>
      <c r="U44">
        <v>2000</v>
      </c>
      <c r="W44">
        <v>30</v>
      </c>
      <c r="X44">
        <v>660</v>
      </c>
      <c r="Y44">
        <v>150</v>
      </c>
      <c r="Z44">
        <v>450</v>
      </c>
      <c r="AB44">
        <v>60</v>
      </c>
      <c r="AC44">
        <v>8</v>
      </c>
      <c r="AE44">
        <v>1</v>
      </c>
      <c r="AF44">
        <v>25</v>
      </c>
      <c r="AH44">
        <v>3</v>
      </c>
      <c r="AI44">
        <v>6</v>
      </c>
      <c r="AJ44">
        <v>200</v>
      </c>
      <c r="AL44">
        <v>12</v>
      </c>
      <c r="AM44">
        <v>9</v>
      </c>
      <c r="AP44">
        <v>130</v>
      </c>
    </row>
    <row r="45" spans="1:50">
      <c r="A45" s="17" t="s">
        <v>138</v>
      </c>
      <c r="C45">
        <v>812</v>
      </c>
      <c r="D45">
        <v>128</v>
      </c>
      <c r="E45">
        <v>280</v>
      </c>
      <c r="F45">
        <v>384</v>
      </c>
      <c r="J45">
        <v>4</v>
      </c>
      <c r="K45">
        <v>11</v>
      </c>
      <c r="L45">
        <v>1</v>
      </c>
      <c r="M45">
        <v>12</v>
      </c>
      <c r="N45">
        <v>12</v>
      </c>
      <c r="P45">
        <v>450</v>
      </c>
      <c r="Q45">
        <v>200</v>
      </c>
      <c r="R45">
        <v>100</v>
      </c>
      <c r="S45">
        <v>2</v>
      </c>
      <c r="U45">
        <v>2000</v>
      </c>
      <c r="V45">
        <v>1</v>
      </c>
      <c r="X45">
        <v>600</v>
      </c>
      <c r="Y45">
        <v>150</v>
      </c>
      <c r="Z45">
        <v>360</v>
      </c>
      <c r="AB45">
        <v>60</v>
      </c>
      <c r="AC45">
        <v>8</v>
      </c>
      <c r="AE45">
        <v>0.5</v>
      </c>
      <c r="AH45">
        <v>2</v>
      </c>
      <c r="AI45">
        <v>6</v>
      </c>
      <c r="AJ45">
        <v>100</v>
      </c>
      <c r="AK45">
        <v>100</v>
      </c>
      <c r="AL45">
        <v>8</v>
      </c>
      <c r="AM45">
        <v>10</v>
      </c>
      <c r="AN45">
        <v>0.5</v>
      </c>
      <c r="AO45">
        <v>4</v>
      </c>
      <c r="AP45">
        <v>130</v>
      </c>
      <c r="AS45">
        <v>2</v>
      </c>
    </row>
    <row r="46" spans="1:50">
      <c r="A46" s="17" t="s">
        <v>221</v>
      </c>
      <c r="B46">
        <v>10</v>
      </c>
      <c r="C46">
        <v>632</v>
      </c>
      <c r="D46">
        <v>40</v>
      </c>
      <c r="E46">
        <v>260</v>
      </c>
      <c r="F46">
        <v>168</v>
      </c>
      <c r="J46">
        <v>2</v>
      </c>
      <c r="K46">
        <v>6</v>
      </c>
      <c r="M46">
        <v>12</v>
      </c>
      <c r="N46">
        <v>12</v>
      </c>
      <c r="O46">
        <v>500</v>
      </c>
      <c r="P46">
        <v>450</v>
      </c>
      <c r="Q46">
        <v>200</v>
      </c>
      <c r="R46">
        <v>100</v>
      </c>
      <c r="S46">
        <v>1</v>
      </c>
      <c r="U46">
        <v>1000</v>
      </c>
      <c r="V46">
        <v>1</v>
      </c>
      <c r="X46">
        <v>540</v>
      </c>
      <c r="Y46">
        <v>60</v>
      </c>
      <c r="Z46">
        <v>270</v>
      </c>
      <c r="AB46">
        <v>24</v>
      </c>
      <c r="AC46">
        <v>4</v>
      </c>
      <c r="AG46">
        <v>2</v>
      </c>
      <c r="AH46">
        <v>1</v>
      </c>
      <c r="AI46">
        <v>4</v>
      </c>
      <c r="AJ46">
        <v>100</v>
      </c>
      <c r="AL46">
        <v>8</v>
      </c>
      <c r="AM46">
        <v>5</v>
      </c>
      <c r="AO46">
        <v>3</v>
      </c>
      <c r="AP46">
        <v>40</v>
      </c>
      <c r="AT46">
        <v>1</v>
      </c>
    </row>
    <row r="47" spans="1:50">
      <c r="A47" s="17" t="s">
        <v>296</v>
      </c>
      <c r="C47">
        <v>1828</v>
      </c>
      <c r="D47">
        <v>272</v>
      </c>
      <c r="E47">
        <v>30</v>
      </c>
      <c r="F47">
        <v>96</v>
      </c>
      <c r="J47">
        <v>1</v>
      </c>
      <c r="K47">
        <v>6</v>
      </c>
      <c r="M47">
        <v>6</v>
      </c>
      <c r="O47">
        <v>1000</v>
      </c>
      <c r="P47">
        <v>1200</v>
      </c>
      <c r="U47">
        <v>2000</v>
      </c>
      <c r="X47">
        <v>1140</v>
      </c>
      <c r="Y47">
        <v>30</v>
      </c>
      <c r="Z47">
        <v>450</v>
      </c>
      <c r="AB47">
        <v>12</v>
      </c>
      <c r="AC47">
        <v>8</v>
      </c>
      <c r="AD47">
        <v>1</v>
      </c>
      <c r="AG47">
        <v>8</v>
      </c>
      <c r="AI47">
        <v>12</v>
      </c>
      <c r="AK47">
        <v>200</v>
      </c>
      <c r="AL47">
        <v>6</v>
      </c>
      <c r="AM47">
        <v>18</v>
      </c>
      <c r="AP47">
        <v>390</v>
      </c>
      <c r="AS47">
        <v>8</v>
      </c>
    </row>
    <row r="48" spans="1:50">
      <c r="A48" s="17" t="s">
        <v>279</v>
      </c>
      <c r="C48">
        <v>456</v>
      </c>
      <c r="D48">
        <v>100</v>
      </c>
      <c r="E48">
        <v>100</v>
      </c>
      <c r="F48">
        <v>216</v>
      </c>
      <c r="J48">
        <v>3</v>
      </c>
      <c r="K48">
        <v>2</v>
      </c>
      <c r="M48">
        <v>16</v>
      </c>
      <c r="P48">
        <v>300</v>
      </c>
      <c r="R48">
        <v>100</v>
      </c>
      <c r="S48">
        <v>1</v>
      </c>
      <c r="W48">
        <v>60</v>
      </c>
      <c r="X48">
        <v>300</v>
      </c>
      <c r="Y48">
        <v>90</v>
      </c>
      <c r="Z48">
        <v>90</v>
      </c>
      <c r="AB48">
        <v>36</v>
      </c>
      <c r="AD48">
        <v>1</v>
      </c>
      <c r="AI48">
        <v>8</v>
      </c>
      <c r="AK48">
        <v>100</v>
      </c>
      <c r="AL48">
        <v>8</v>
      </c>
      <c r="AM48">
        <v>9</v>
      </c>
      <c r="AP48">
        <v>140</v>
      </c>
      <c r="AX48">
        <v>500</v>
      </c>
    </row>
    <row r="49" spans="1:48">
      <c r="A49" s="17" t="s">
        <v>297</v>
      </c>
      <c r="C49">
        <v>648</v>
      </c>
      <c r="D49">
        <v>60</v>
      </c>
      <c r="E49">
        <v>130</v>
      </c>
      <c r="M49">
        <v>10</v>
      </c>
      <c r="N49">
        <v>12</v>
      </c>
      <c r="P49">
        <v>300</v>
      </c>
      <c r="Q49">
        <v>100</v>
      </c>
      <c r="S49">
        <v>0.5</v>
      </c>
      <c r="U49">
        <v>1000</v>
      </c>
      <c r="V49">
        <v>1</v>
      </c>
      <c r="X49">
        <v>420</v>
      </c>
      <c r="Y49">
        <v>30</v>
      </c>
      <c r="Z49">
        <v>450</v>
      </c>
      <c r="AB49">
        <v>48</v>
      </c>
      <c r="AC49">
        <v>4</v>
      </c>
      <c r="AD49">
        <v>2</v>
      </c>
      <c r="AE49">
        <v>0.5</v>
      </c>
      <c r="AH49">
        <v>2</v>
      </c>
      <c r="AI49">
        <v>2</v>
      </c>
      <c r="AJ49">
        <v>200</v>
      </c>
      <c r="AK49">
        <v>100</v>
      </c>
      <c r="AL49">
        <v>4</v>
      </c>
      <c r="AM49">
        <v>6</v>
      </c>
      <c r="AN49">
        <v>0.5</v>
      </c>
      <c r="AP49">
        <v>70</v>
      </c>
    </row>
    <row r="50" spans="1:48">
      <c r="A50" s="17" t="s">
        <v>243</v>
      </c>
      <c r="C50">
        <v>1204</v>
      </c>
      <c r="D50">
        <v>132</v>
      </c>
      <c r="E50">
        <v>310</v>
      </c>
      <c r="F50">
        <v>168</v>
      </c>
      <c r="J50">
        <v>5</v>
      </c>
      <c r="K50">
        <v>10</v>
      </c>
      <c r="M50">
        <v>6</v>
      </c>
      <c r="O50">
        <v>500</v>
      </c>
      <c r="P50">
        <v>750</v>
      </c>
      <c r="Q50">
        <v>200</v>
      </c>
      <c r="R50">
        <v>100</v>
      </c>
      <c r="S50">
        <v>0.5</v>
      </c>
      <c r="U50">
        <v>1000</v>
      </c>
      <c r="X50">
        <v>780</v>
      </c>
      <c r="Y50">
        <v>150</v>
      </c>
      <c r="Z50">
        <v>540</v>
      </c>
      <c r="AC50">
        <v>4</v>
      </c>
      <c r="AE50">
        <v>0.5</v>
      </c>
      <c r="AH50">
        <v>2</v>
      </c>
      <c r="AI50">
        <v>7</v>
      </c>
      <c r="AJ50">
        <v>100</v>
      </c>
      <c r="AK50">
        <v>100</v>
      </c>
      <c r="AL50">
        <v>2</v>
      </c>
      <c r="AM50">
        <v>9</v>
      </c>
      <c r="AP50">
        <v>110</v>
      </c>
    </row>
    <row r="51" spans="1:48">
      <c r="A51" s="17" t="s">
        <v>392</v>
      </c>
      <c r="C51">
        <v>340</v>
      </c>
      <c r="D51">
        <v>220</v>
      </c>
      <c r="E51">
        <v>110</v>
      </c>
      <c r="F51">
        <v>96</v>
      </c>
      <c r="K51">
        <v>6</v>
      </c>
      <c r="M51">
        <v>24</v>
      </c>
      <c r="P51">
        <v>300</v>
      </c>
      <c r="Q51">
        <v>100</v>
      </c>
      <c r="U51">
        <v>1000</v>
      </c>
      <c r="W51">
        <v>30</v>
      </c>
      <c r="X51">
        <v>300</v>
      </c>
      <c r="Z51">
        <v>180</v>
      </c>
      <c r="AB51">
        <v>120</v>
      </c>
      <c r="AC51">
        <v>4</v>
      </c>
      <c r="AH51">
        <v>2</v>
      </c>
      <c r="AI51">
        <v>3</v>
      </c>
      <c r="AJ51">
        <v>100</v>
      </c>
      <c r="AK51">
        <v>300</v>
      </c>
      <c r="AL51">
        <v>12</v>
      </c>
      <c r="AM51">
        <v>6</v>
      </c>
      <c r="AN51">
        <v>4</v>
      </c>
      <c r="AP51">
        <v>180</v>
      </c>
      <c r="AT51">
        <v>1</v>
      </c>
    </row>
    <row r="52" spans="1:48">
      <c r="A52" s="17" t="s">
        <v>166</v>
      </c>
      <c r="B52">
        <v>10</v>
      </c>
      <c r="C52">
        <v>1764</v>
      </c>
      <c r="D52">
        <v>352</v>
      </c>
      <c r="E52">
        <v>330</v>
      </c>
      <c r="F52">
        <v>288</v>
      </c>
      <c r="I52">
        <v>1</v>
      </c>
      <c r="J52">
        <v>5</v>
      </c>
      <c r="K52">
        <v>14</v>
      </c>
      <c r="L52">
        <v>1</v>
      </c>
      <c r="M52">
        <v>28</v>
      </c>
      <c r="N52">
        <v>24</v>
      </c>
      <c r="O52">
        <v>500</v>
      </c>
      <c r="P52">
        <v>1350</v>
      </c>
      <c r="Q52">
        <v>300</v>
      </c>
      <c r="R52">
        <v>100</v>
      </c>
      <c r="S52">
        <v>0.5</v>
      </c>
      <c r="T52">
        <v>6</v>
      </c>
      <c r="U52">
        <v>2000</v>
      </c>
      <c r="V52">
        <v>1</v>
      </c>
      <c r="W52">
        <v>90</v>
      </c>
      <c r="X52">
        <v>1380</v>
      </c>
      <c r="Y52">
        <v>240</v>
      </c>
      <c r="Z52">
        <v>540</v>
      </c>
      <c r="AB52">
        <v>72</v>
      </c>
      <c r="AC52">
        <v>8</v>
      </c>
      <c r="AE52">
        <v>3.5</v>
      </c>
      <c r="AF52">
        <v>25</v>
      </c>
      <c r="AG52">
        <v>1</v>
      </c>
      <c r="AH52">
        <v>3</v>
      </c>
      <c r="AI52">
        <v>10</v>
      </c>
      <c r="AK52">
        <v>400</v>
      </c>
      <c r="AL52">
        <v>28</v>
      </c>
      <c r="AM52">
        <v>11</v>
      </c>
      <c r="AN52">
        <v>1</v>
      </c>
      <c r="AO52">
        <v>6</v>
      </c>
      <c r="AP52">
        <v>290</v>
      </c>
    </row>
    <row r="53" spans="1:48">
      <c r="A53" s="17" t="s">
        <v>168</v>
      </c>
      <c r="B53">
        <v>10</v>
      </c>
      <c r="C53">
        <v>644</v>
      </c>
      <c r="D53">
        <v>72</v>
      </c>
      <c r="E53">
        <v>310</v>
      </c>
      <c r="F53">
        <v>144</v>
      </c>
      <c r="I53">
        <v>1</v>
      </c>
      <c r="J53">
        <v>3</v>
      </c>
      <c r="K53">
        <v>6</v>
      </c>
      <c r="M53">
        <v>12</v>
      </c>
      <c r="N53">
        <v>12</v>
      </c>
      <c r="O53">
        <v>500</v>
      </c>
      <c r="P53">
        <v>450</v>
      </c>
      <c r="Q53">
        <v>200</v>
      </c>
      <c r="S53">
        <v>1.5</v>
      </c>
      <c r="T53">
        <v>2</v>
      </c>
      <c r="U53">
        <v>1000</v>
      </c>
      <c r="X53">
        <v>540</v>
      </c>
      <c r="Y53">
        <v>120</v>
      </c>
      <c r="Z53">
        <v>450</v>
      </c>
      <c r="AB53">
        <v>48</v>
      </c>
      <c r="AC53">
        <v>4</v>
      </c>
      <c r="AD53">
        <v>1</v>
      </c>
      <c r="AH53">
        <v>1</v>
      </c>
      <c r="AI53">
        <v>4</v>
      </c>
      <c r="AJ53">
        <v>100</v>
      </c>
      <c r="AL53">
        <v>6</v>
      </c>
      <c r="AM53">
        <v>6</v>
      </c>
      <c r="AO53">
        <v>6</v>
      </c>
      <c r="AP53">
        <v>70</v>
      </c>
    </row>
    <row r="54" spans="1:48">
      <c r="A54" s="17" t="s">
        <v>172</v>
      </c>
      <c r="C54">
        <v>808</v>
      </c>
      <c r="D54">
        <v>128</v>
      </c>
      <c r="E54">
        <v>230</v>
      </c>
      <c r="F54">
        <v>120</v>
      </c>
      <c r="J54">
        <v>2</v>
      </c>
      <c r="K54">
        <v>4</v>
      </c>
      <c r="L54">
        <v>1</v>
      </c>
      <c r="M54">
        <v>12</v>
      </c>
      <c r="O54">
        <v>500</v>
      </c>
      <c r="P54">
        <v>450</v>
      </c>
      <c r="R54">
        <v>100</v>
      </c>
      <c r="S54">
        <v>0.5</v>
      </c>
      <c r="U54">
        <v>2000</v>
      </c>
      <c r="V54">
        <v>1</v>
      </c>
      <c r="X54">
        <v>420</v>
      </c>
      <c r="Y54">
        <v>120</v>
      </c>
      <c r="Z54">
        <v>450</v>
      </c>
      <c r="AB54">
        <v>48</v>
      </c>
      <c r="AC54">
        <v>8</v>
      </c>
      <c r="AD54">
        <v>1</v>
      </c>
      <c r="AH54">
        <v>1</v>
      </c>
      <c r="AI54">
        <v>6</v>
      </c>
      <c r="AJ54">
        <v>100</v>
      </c>
      <c r="AK54">
        <v>200</v>
      </c>
      <c r="AL54">
        <v>8</v>
      </c>
      <c r="AM54">
        <v>4</v>
      </c>
      <c r="AN54">
        <v>1</v>
      </c>
      <c r="AO54">
        <v>3</v>
      </c>
      <c r="AP54">
        <v>130</v>
      </c>
    </row>
    <row r="55" spans="1:48">
      <c r="A55" s="17" t="s">
        <v>192</v>
      </c>
      <c r="B55">
        <v>20</v>
      </c>
      <c r="C55">
        <v>1564</v>
      </c>
      <c r="D55">
        <v>228</v>
      </c>
      <c r="E55">
        <v>740</v>
      </c>
      <c r="F55">
        <v>648</v>
      </c>
      <c r="J55">
        <v>5</v>
      </c>
      <c r="K55">
        <v>15</v>
      </c>
      <c r="L55">
        <v>1</v>
      </c>
      <c r="M55">
        <v>14</v>
      </c>
      <c r="N55">
        <v>36</v>
      </c>
      <c r="O55">
        <v>500</v>
      </c>
      <c r="P55">
        <v>1050</v>
      </c>
      <c r="Q55">
        <v>400</v>
      </c>
      <c r="R55">
        <v>300</v>
      </c>
      <c r="S55">
        <v>2.5</v>
      </c>
      <c r="T55">
        <v>30</v>
      </c>
      <c r="U55">
        <v>3000</v>
      </c>
      <c r="V55">
        <v>1</v>
      </c>
      <c r="X55">
        <v>1200</v>
      </c>
      <c r="Y55">
        <v>390</v>
      </c>
      <c r="Z55">
        <v>810</v>
      </c>
      <c r="AB55">
        <v>60</v>
      </c>
      <c r="AC55">
        <v>13</v>
      </c>
      <c r="AD55">
        <v>2</v>
      </c>
      <c r="AF55">
        <v>50</v>
      </c>
      <c r="AH55">
        <v>6</v>
      </c>
      <c r="AI55">
        <v>10</v>
      </c>
      <c r="AJ55">
        <v>300</v>
      </c>
      <c r="AK55">
        <v>200</v>
      </c>
      <c r="AL55">
        <v>12</v>
      </c>
      <c r="AM55">
        <v>17</v>
      </c>
      <c r="AO55">
        <v>15</v>
      </c>
      <c r="AP55">
        <v>230</v>
      </c>
    </row>
    <row r="56" spans="1:48">
      <c r="A56" s="17" t="s">
        <v>204</v>
      </c>
      <c r="C56">
        <v>1276</v>
      </c>
      <c r="D56">
        <v>184</v>
      </c>
      <c r="E56">
        <v>200</v>
      </c>
      <c r="F56">
        <v>216</v>
      </c>
      <c r="H56">
        <v>1</v>
      </c>
      <c r="J56">
        <v>3</v>
      </c>
      <c r="K56">
        <v>4</v>
      </c>
      <c r="L56">
        <v>1</v>
      </c>
      <c r="M56">
        <v>20</v>
      </c>
      <c r="N56">
        <v>12</v>
      </c>
      <c r="O56">
        <v>500</v>
      </c>
      <c r="P56">
        <v>900</v>
      </c>
      <c r="Q56">
        <v>100</v>
      </c>
      <c r="R56">
        <v>100</v>
      </c>
      <c r="S56">
        <v>1.5</v>
      </c>
      <c r="T56">
        <v>3</v>
      </c>
      <c r="U56">
        <v>2000</v>
      </c>
      <c r="X56">
        <v>780</v>
      </c>
      <c r="Y56">
        <v>180</v>
      </c>
      <c r="Z56">
        <v>540</v>
      </c>
      <c r="AB56">
        <v>84</v>
      </c>
      <c r="AC56">
        <v>8</v>
      </c>
      <c r="AH56">
        <v>2</v>
      </c>
      <c r="AI56">
        <v>8</v>
      </c>
      <c r="AJ56">
        <v>100</v>
      </c>
      <c r="AK56">
        <v>200</v>
      </c>
      <c r="AL56">
        <v>8</v>
      </c>
      <c r="AM56">
        <v>9</v>
      </c>
      <c r="AO56">
        <v>4</v>
      </c>
      <c r="AP56">
        <v>200</v>
      </c>
    </row>
    <row r="57" spans="1:48">
      <c r="A57" s="17" t="s">
        <v>119</v>
      </c>
      <c r="C57">
        <v>1060</v>
      </c>
      <c r="D57">
        <v>240</v>
      </c>
      <c r="E57">
        <v>240</v>
      </c>
      <c r="F57">
        <v>552</v>
      </c>
      <c r="K57">
        <v>9</v>
      </c>
      <c r="L57">
        <v>1</v>
      </c>
      <c r="M57">
        <v>26</v>
      </c>
      <c r="N57">
        <v>24</v>
      </c>
      <c r="O57">
        <v>500</v>
      </c>
      <c r="P57">
        <v>600</v>
      </c>
      <c r="R57">
        <v>300</v>
      </c>
      <c r="S57">
        <v>4</v>
      </c>
      <c r="U57">
        <v>1000</v>
      </c>
      <c r="X57">
        <v>660</v>
      </c>
      <c r="Y57">
        <v>90</v>
      </c>
      <c r="Z57">
        <v>540</v>
      </c>
      <c r="AB57">
        <v>60</v>
      </c>
      <c r="AC57">
        <v>4</v>
      </c>
      <c r="AD57">
        <v>4</v>
      </c>
      <c r="AE57">
        <v>1</v>
      </c>
      <c r="AG57">
        <v>2</v>
      </c>
      <c r="AH57">
        <v>1</v>
      </c>
      <c r="AI57">
        <v>8</v>
      </c>
      <c r="AJ57">
        <v>300</v>
      </c>
      <c r="AK57">
        <v>200</v>
      </c>
      <c r="AL57">
        <v>12</v>
      </c>
      <c r="AM57">
        <v>10</v>
      </c>
      <c r="AN57">
        <v>1</v>
      </c>
      <c r="AP57">
        <v>260</v>
      </c>
    </row>
    <row r="58" spans="1:48">
      <c r="A58" s="17" t="s">
        <v>103</v>
      </c>
      <c r="C58">
        <v>1912</v>
      </c>
      <c r="D58">
        <v>144</v>
      </c>
      <c r="E58">
        <v>880</v>
      </c>
      <c r="F58">
        <v>360</v>
      </c>
      <c r="H58">
        <v>1</v>
      </c>
      <c r="J58">
        <v>11</v>
      </c>
      <c r="K58">
        <v>39</v>
      </c>
      <c r="L58">
        <v>1</v>
      </c>
      <c r="M58">
        <v>32</v>
      </c>
      <c r="N58">
        <v>36</v>
      </c>
      <c r="O58">
        <v>500</v>
      </c>
      <c r="P58">
        <v>1500</v>
      </c>
      <c r="Q58">
        <v>600</v>
      </c>
      <c r="R58">
        <v>100</v>
      </c>
      <c r="S58">
        <v>2</v>
      </c>
      <c r="U58">
        <v>3000</v>
      </c>
      <c r="V58">
        <v>1</v>
      </c>
      <c r="W58">
        <v>90</v>
      </c>
      <c r="X58">
        <v>1740</v>
      </c>
      <c r="Y58">
        <v>270</v>
      </c>
      <c r="Z58">
        <v>630</v>
      </c>
      <c r="AB58">
        <v>72</v>
      </c>
      <c r="AC58">
        <v>12</v>
      </c>
      <c r="AD58">
        <v>2</v>
      </c>
      <c r="AE58">
        <v>2</v>
      </c>
      <c r="AF58">
        <v>25</v>
      </c>
      <c r="AH58">
        <v>8</v>
      </c>
      <c r="AI58">
        <v>12</v>
      </c>
      <c r="AJ58">
        <v>200</v>
      </c>
      <c r="AK58">
        <v>100</v>
      </c>
      <c r="AL58">
        <v>20</v>
      </c>
      <c r="AM58">
        <v>10</v>
      </c>
      <c r="AN58">
        <v>0.5</v>
      </c>
      <c r="AP58">
        <v>250</v>
      </c>
      <c r="AV58">
        <v>100</v>
      </c>
    </row>
    <row r="59" spans="1:48">
      <c r="A59" s="17" t="s">
        <v>212</v>
      </c>
      <c r="C59">
        <v>680</v>
      </c>
      <c r="D59">
        <v>252</v>
      </c>
      <c r="E59">
        <v>260</v>
      </c>
      <c r="F59">
        <v>312</v>
      </c>
      <c r="H59">
        <v>1</v>
      </c>
      <c r="J59">
        <v>4</v>
      </c>
      <c r="K59">
        <v>9</v>
      </c>
      <c r="L59">
        <v>2</v>
      </c>
      <c r="M59">
        <v>6</v>
      </c>
      <c r="N59">
        <v>24</v>
      </c>
      <c r="O59">
        <v>500</v>
      </c>
      <c r="P59">
        <v>300</v>
      </c>
      <c r="R59">
        <v>200</v>
      </c>
      <c r="S59">
        <v>2</v>
      </c>
      <c r="U59">
        <v>1000</v>
      </c>
      <c r="X59">
        <v>480</v>
      </c>
      <c r="Y59">
        <v>90</v>
      </c>
      <c r="Z59">
        <v>360</v>
      </c>
      <c r="AB59">
        <v>24</v>
      </c>
      <c r="AC59">
        <v>4</v>
      </c>
      <c r="AD59">
        <v>1</v>
      </c>
      <c r="AF59">
        <v>25</v>
      </c>
      <c r="AH59">
        <v>3</v>
      </c>
      <c r="AI59">
        <v>6</v>
      </c>
      <c r="AJ59">
        <v>200</v>
      </c>
      <c r="AK59">
        <v>300</v>
      </c>
      <c r="AL59">
        <v>14</v>
      </c>
      <c r="AM59">
        <v>5</v>
      </c>
      <c r="AN59">
        <v>0.5</v>
      </c>
      <c r="AP59">
        <v>260</v>
      </c>
      <c r="AT59">
        <v>1</v>
      </c>
      <c r="AV59">
        <v>100</v>
      </c>
    </row>
    <row r="60" spans="1:48">
      <c r="A60" s="17" t="s">
        <v>227</v>
      </c>
      <c r="C60">
        <v>800</v>
      </c>
      <c r="D60">
        <v>84</v>
      </c>
      <c r="E60">
        <v>310</v>
      </c>
      <c r="F60">
        <v>216</v>
      </c>
      <c r="J60">
        <v>3</v>
      </c>
      <c r="K60">
        <v>11.5</v>
      </c>
      <c r="M60">
        <v>24</v>
      </c>
      <c r="O60">
        <v>500</v>
      </c>
      <c r="P60">
        <v>600</v>
      </c>
      <c r="Q60">
        <v>200</v>
      </c>
      <c r="R60">
        <v>100</v>
      </c>
      <c r="S60">
        <v>1</v>
      </c>
      <c r="T60">
        <v>1</v>
      </c>
      <c r="U60">
        <v>3000</v>
      </c>
      <c r="X60">
        <v>720</v>
      </c>
      <c r="Y60">
        <v>150</v>
      </c>
      <c r="Z60">
        <v>450</v>
      </c>
      <c r="AB60">
        <v>48</v>
      </c>
      <c r="AC60">
        <v>12</v>
      </c>
      <c r="AG60">
        <v>1</v>
      </c>
      <c r="AH60">
        <v>2</v>
      </c>
      <c r="AI60">
        <v>6</v>
      </c>
      <c r="AJ60">
        <v>200</v>
      </c>
      <c r="AK60">
        <v>100</v>
      </c>
      <c r="AL60">
        <v>10</v>
      </c>
      <c r="AM60">
        <v>6</v>
      </c>
      <c r="AO60">
        <v>8</v>
      </c>
      <c r="AP60">
        <v>80</v>
      </c>
    </row>
    <row r="61" spans="1:48">
      <c r="A61" s="17" t="s">
        <v>210</v>
      </c>
      <c r="C61">
        <v>1540</v>
      </c>
      <c r="D61">
        <v>312</v>
      </c>
      <c r="E61">
        <v>430</v>
      </c>
      <c r="F61">
        <v>480</v>
      </c>
      <c r="J61">
        <v>8</v>
      </c>
      <c r="K61">
        <v>33</v>
      </c>
      <c r="M61">
        <v>8</v>
      </c>
      <c r="O61">
        <v>500</v>
      </c>
      <c r="P61">
        <v>1200</v>
      </c>
      <c r="R61">
        <v>300</v>
      </c>
      <c r="S61">
        <v>2</v>
      </c>
      <c r="U61">
        <v>2000</v>
      </c>
      <c r="X61">
        <v>1140</v>
      </c>
      <c r="Y61">
        <v>300</v>
      </c>
      <c r="Z61">
        <v>990</v>
      </c>
      <c r="AA61">
        <v>2000</v>
      </c>
      <c r="AB61">
        <v>96</v>
      </c>
      <c r="AC61">
        <v>8</v>
      </c>
      <c r="AD61">
        <v>2</v>
      </c>
      <c r="AE61">
        <v>1</v>
      </c>
      <c r="AF61">
        <v>25</v>
      </c>
      <c r="AH61">
        <v>4</v>
      </c>
      <c r="AI61">
        <v>9</v>
      </c>
      <c r="AJ61">
        <v>500</v>
      </c>
      <c r="AK61">
        <v>400</v>
      </c>
      <c r="AL61">
        <v>14</v>
      </c>
      <c r="AM61">
        <v>14</v>
      </c>
      <c r="AN61">
        <v>1.5</v>
      </c>
      <c r="AO61">
        <v>2</v>
      </c>
      <c r="AP61">
        <v>240</v>
      </c>
    </row>
    <row r="62" spans="1:48">
      <c r="A62" s="17" t="s">
        <v>273</v>
      </c>
      <c r="B62">
        <v>10</v>
      </c>
      <c r="C62">
        <v>1668</v>
      </c>
      <c r="D62">
        <v>220</v>
      </c>
      <c r="E62">
        <v>280</v>
      </c>
      <c r="F62">
        <v>192</v>
      </c>
      <c r="K62">
        <v>15</v>
      </c>
      <c r="L62">
        <v>1</v>
      </c>
      <c r="M62">
        <v>10</v>
      </c>
      <c r="N62">
        <v>12</v>
      </c>
      <c r="O62">
        <v>1000</v>
      </c>
      <c r="P62">
        <v>750</v>
      </c>
      <c r="R62">
        <v>100</v>
      </c>
      <c r="S62">
        <v>0.5</v>
      </c>
      <c r="U62">
        <v>2000</v>
      </c>
      <c r="V62">
        <v>1</v>
      </c>
      <c r="X62">
        <v>720</v>
      </c>
      <c r="Y62">
        <v>120</v>
      </c>
      <c r="Z62">
        <v>1080</v>
      </c>
      <c r="AB62">
        <v>48</v>
      </c>
      <c r="AC62">
        <v>8</v>
      </c>
      <c r="AD62">
        <v>1</v>
      </c>
      <c r="AE62">
        <v>0.5</v>
      </c>
      <c r="AF62">
        <v>25</v>
      </c>
      <c r="AH62">
        <v>5</v>
      </c>
      <c r="AI62">
        <v>10</v>
      </c>
      <c r="AJ62">
        <v>200</v>
      </c>
      <c r="AK62">
        <v>200</v>
      </c>
      <c r="AL62">
        <v>14</v>
      </c>
      <c r="AM62">
        <v>13</v>
      </c>
      <c r="AN62">
        <v>1</v>
      </c>
      <c r="AP62">
        <v>220</v>
      </c>
    </row>
    <row r="63" spans="1:48">
      <c r="A63" s="17" t="s">
        <v>184</v>
      </c>
      <c r="B63">
        <v>10</v>
      </c>
      <c r="C63">
        <v>536</v>
      </c>
      <c r="D63">
        <v>88</v>
      </c>
      <c r="E63">
        <v>170</v>
      </c>
      <c r="F63">
        <v>216</v>
      </c>
      <c r="J63">
        <v>12</v>
      </c>
      <c r="K63">
        <v>12</v>
      </c>
      <c r="M63">
        <v>8</v>
      </c>
      <c r="P63">
        <v>300</v>
      </c>
      <c r="Q63">
        <v>100</v>
      </c>
      <c r="X63">
        <v>600</v>
      </c>
      <c r="Z63">
        <v>1080</v>
      </c>
      <c r="AA63">
        <v>600</v>
      </c>
      <c r="AB63">
        <v>36</v>
      </c>
      <c r="AE63">
        <v>0.5</v>
      </c>
      <c r="AH63">
        <v>11</v>
      </c>
      <c r="AI63">
        <v>4</v>
      </c>
      <c r="AJ63">
        <v>100</v>
      </c>
      <c r="AL63">
        <v>6</v>
      </c>
      <c r="AM63">
        <v>4</v>
      </c>
      <c r="AO63">
        <v>6</v>
      </c>
      <c r="AP63">
        <v>40</v>
      </c>
    </row>
    <row r="64" spans="1:48">
      <c r="A64" s="17" t="s">
        <v>257</v>
      </c>
      <c r="C64">
        <v>612</v>
      </c>
      <c r="D64">
        <v>88</v>
      </c>
      <c r="E64">
        <v>210</v>
      </c>
      <c r="F64">
        <v>96</v>
      </c>
      <c r="K64">
        <v>8</v>
      </c>
      <c r="M64">
        <v>2</v>
      </c>
      <c r="N64">
        <v>12</v>
      </c>
      <c r="O64">
        <v>500</v>
      </c>
      <c r="P64">
        <v>600</v>
      </c>
      <c r="Q64">
        <v>100</v>
      </c>
      <c r="T64">
        <v>1</v>
      </c>
      <c r="V64">
        <v>1</v>
      </c>
      <c r="X64">
        <v>60</v>
      </c>
      <c r="Y64">
        <v>30</v>
      </c>
      <c r="AA64">
        <v>100</v>
      </c>
      <c r="AB64">
        <v>60</v>
      </c>
      <c r="AH64">
        <v>1</v>
      </c>
      <c r="AI64">
        <v>4</v>
      </c>
      <c r="AJ64">
        <v>100</v>
      </c>
      <c r="AK64">
        <v>100</v>
      </c>
      <c r="AL64">
        <v>10</v>
      </c>
      <c r="AM64">
        <v>6</v>
      </c>
      <c r="AO64">
        <v>5</v>
      </c>
      <c r="AP64">
        <v>50</v>
      </c>
    </row>
    <row r="65" spans="1:48">
      <c r="A65" s="17" t="s">
        <v>251</v>
      </c>
      <c r="B65">
        <v>10</v>
      </c>
      <c r="C65">
        <v>2652</v>
      </c>
      <c r="D65">
        <v>404</v>
      </c>
      <c r="E65">
        <v>400</v>
      </c>
      <c r="F65">
        <v>624</v>
      </c>
      <c r="J65">
        <v>6</v>
      </c>
      <c r="K65">
        <v>13</v>
      </c>
      <c r="L65">
        <v>1</v>
      </c>
      <c r="M65">
        <v>16</v>
      </c>
      <c r="N65">
        <v>24</v>
      </c>
      <c r="O65">
        <v>1000</v>
      </c>
      <c r="P65">
        <v>1500</v>
      </c>
      <c r="Q65">
        <v>200</v>
      </c>
      <c r="R65">
        <v>300</v>
      </c>
      <c r="S65">
        <v>4</v>
      </c>
      <c r="U65">
        <v>3000</v>
      </c>
      <c r="V65">
        <v>1</v>
      </c>
      <c r="W65">
        <v>30</v>
      </c>
      <c r="X65">
        <v>1500</v>
      </c>
      <c r="Y65">
        <v>180</v>
      </c>
      <c r="Z65">
        <v>1260</v>
      </c>
      <c r="AA65">
        <v>300</v>
      </c>
      <c r="AB65">
        <v>84</v>
      </c>
      <c r="AC65">
        <v>12</v>
      </c>
      <c r="AD65">
        <v>4</v>
      </c>
      <c r="AE65">
        <v>1</v>
      </c>
      <c r="AF65">
        <v>25</v>
      </c>
      <c r="AH65">
        <v>2</v>
      </c>
      <c r="AI65">
        <v>17</v>
      </c>
      <c r="AJ65">
        <v>200</v>
      </c>
      <c r="AK65">
        <v>400</v>
      </c>
      <c r="AL65">
        <v>20</v>
      </c>
      <c r="AM65">
        <v>17</v>
      </c>
      <c r="AO65">
        <v>10</v>
      </c>
      <c r="AP65">
        <v>370</v>
      </c>
    </row>
    <row r="66" spans="1:48">
      <c r="A66" s="17" t="s">
        <v>225</v>
      </c>
      <c r="C66">
        <v>1332</v>
      </c>
      <c r="D66">
        <v>392</v>
      </c>
      <c r="E66">
        <v>400</v>
      </c>
      <c r="F66">
        <v>816</v>
      </c>
      <c r="I66">
        <v>1</v>
      </c>
      <c r="J66">
        <v>3</v>
      </c>
      <c r="K66">
        <v>10</v>
      </c>
      <c r="L66">
        <v>1</v>
      </c>
      <c r="M66">
        <v>18</v>
      </c>
      <c r="N66">
        <v>12</v>
      </c>
      <c r="O66">
        <v>500</v>
      </c>
      <c r="P66">
        <v>600</v>
      </c>
      <c r="Q66">
        <v>100</v>
      </c>
      <c r="R66">
        <v>300</v>
      </c>
      <c r="S66">
        <v>3</v>
      </c>
      <c r="U66">
        <v>2000</v>
      </c>
      <c r="V66">
        <v>1</v>
      </c>
      <c r="X66">
        <v>780</v>
      </c>
      <c r="Y66">
        <v>120</v>
      </c>
      <c r="Z66">
        <v>810</v>
      </c>
      <c r="AB66">
        <v>60</v>
      </c>
      <c r="AC66">
        <v>8</v>
      </c>
      <c r="AD66">
        <v>1</v>
      </c>
      <c r="AE66">
        <v>1</v>
      </c>
      <c r="AG66">
        <v>3</v>
      </c>
      <c r="AH66">
        <v>3</v>
      </c>
      <c r="AI66">
        <v>10</v>
      </c>
      <c r="AJ66">
        <v>300</v>
      </c>
      <c r="AK66">
        <v>300</v>
      </c>
      <c r="AL66">
        <v>8</v>
      </c>
      <c r="AM66">
        <v>5</v>
      </c>
      <c r="AN66">
        <v>0.5</v>
      </c>
      <c r="AO66">
        <v>8</v>
      </c>
      <c r="AP66">
        <v>370</v>
      </c>
    </row>
    <row r="67" spans="1:48">
      <c r="A67" s="17" t="s">
        <v>180</v>
      </c>
      <c r="C67">
        <v>676</v>
      </c>
      <c r="D67">
        <v>80</v>
      </c>
      <c r="E67">
        <v>210</v>
      </c>
      <c r="F67">
        <v>216</v>
      </c>
      <c r="H67">
        <v>1</v>
      </c>
      <c r="J67">
        <v>4</v>
      </c>
      <c r="K67">
        <v>8.5</v>
      </c>
      <c r="L67">
        <v>2</v>
      </c>
      <c r="M67">
        <v>14</v>
      </c>
      <c r="N67">
        <v>12</v>
      </c>
      <c r="O67">
        <v>500</v>
      </c>
      <c r="P67">
        <v>150</v>
      </c>
      <c r="Q67">
        <v>100</v>
      </c>
      <c r="R67">
        <v>200</v>
      </c>
      <c r="S67">
        <v>2.5</v>
      </c>
      <c r="T67">
        <v>3</v>
      </c>
      <c r="U67">
        <v>1000</v>
      </c>
      <c r="X67">
        <v>480</v>
      </c>
      <c r="Y67">
        <v>150</v>
      </c>
      <c r="Z67">
        <v>360</v>
      </c>
      <c r="AB67">
        <v>36</v>
      </c>
      <c r="AC67">
        <v>4</v>
      </c>
      <c r="AD67">
        <v>1</v>
      </c>
      <c r="AF67">
        <v>25</v>
      </c>
      <c r="AH67">
        <v>2</v>
      </c>
      <c r="AI67">
        <v>3</v>
      </c>
      <c r="AJ67">
        <v>200</v>
      </c>
      <c r="AK67">
        <v>100</v>
      </c>
      <c r="AL67">
        <v>10</v>
      </c>
      <c r="AM67">
        <v>12</v>
      </c>
      <c r="AO67">
        <v>3</v>
      </c>
      <c r="AP67">
        <v>90</v>
      </c>
      <c r="AR67">
        <v>6</v>
      </c>
    </row>
    <row r="68" spans="1:48">
      <c r="A68" s="17" t="s">
        <v>298</v>
      </c>
      <c r="B68">
        <v>10</v>
      </c>
      <c r="C68">
        <v>1284</v>
      </c>
      <c r="D68">
        <v>264</v>
      </c>
      <c r="E68">
        <v>310</v>
      </c>
      <c r="F68">
        <v>312</v>
      </c>
      <c r="J68">
        <v>6</v>
      </c>
      <c r="K68">
        <v>9</v>
      </c>
      <c r="L68">
        <v>2</v>
      </c>
      <c r="M68">
        <v>10</v>
      </c>
      <c r="N68">
        <v>24</v>
      </c>
      <c r="O68">
        <v>500</v>
      </c>
      <c r="P68">
        <v>750</v>
      </c>
      <c r="R68">
        <v>200</v>
      </c>
      <c r="S68">
        <v>2</v>
      </c>
      <c r="T68">
        <v>2</v>
      </c>
      <c r="U68">
        <v>2000</v>
      </c>
      <c r="V68">
        <v>1</v>
      </c>
      <c r="X68">
        <v>840</v>
      </c>
      <c r="Y68">
        <v>120</v>
      </c>
      <c r="Z68">
        <v>900</v>
      </c>
      <c r="AA68">
        <v>100</v>
      </c>
      <c r="AC68">
        <v>8</v>
      </c>
      <c r="AD68">
        <v>2</v>
      </c>
      <c r="AE68">
        <v>0.5</v>
      </c>
      <c r="AF68">
        <v>25</v>
      </c>
      <c r="AH68">
        <v>4</v>
      </c>
      <c r="AI68">
        <v>9</v>
      </c>
      <c r="AJ68">
        <v>300</v>
      </c>
      <c r="AK68">
        <v>200</v>
      </c>
      <c r="AL68">
        <v>10</v>
      </c>
      <c r="AM68">
        <v>17</v>
      </c>
      <c r="AN68">
        <v>0.5</v>
      </c>
      <c r="AO68">
        <v>6</v>
      </c>
      <c r="AP68">
        <v>250</v>
      </c>
    </row>
    <row r="69" spans="1:48">
      <c r="A69" s="17" t="s">
        <v>299</v>
      </c>
      <c r="C69">
        <v>2472</v>
      </c>
      <c r="D69">
        <v>384</v>
      </c>
      <c r="E69">
        <v>120</v>
      </c>
      <c r="F69">
        <v>96</v>
      </c>
      <c r="H69">
        <v>2</v>
      </c>
      <c r="I69">
        <v>2</v>
      </c>
      <c r="J69">
        <v>7</v>
      </c>
      <c r="K69">
        <v>18</v>
      </c>
      <c r="O69">
        <v>1000</v>
      </c>
      <c r="P69">
        <v>2100</v>
      </c>
      <c r="Q69">
        <v>100</v>
      </c>
      <c r="T69">
        <v>10</v>
      </c>
      <c r="U69">
        <v>4000</v>
      </c>
      <c r="V69">
        <v>2</v>
      </c>
      <c r="X69">
        <v>1680</v>
      </c>
      <c r="Z69">
        <v>900</v>
      </c>
      <c r="AA69">
        <v>100</v>
      </c>
      <c r="AB69">
        <v>84</v>
      </c>
      <c r="AC69">
        <v>16</v>
      </c>
      <c r="AE69">
        <v>0.5</v>
      </c>
      <c r="AF69">
        <v>25</v>
      </c>
      <c r="AH69">
        <v>3</v>
      </c>
      <c r="AI69">
        <v>15</v>
      </c>
      <c r="AJ69">
        <v>100</v>
      </c>
      <c r="AK69">
        <v>400</v>
      </c>
      <c r="AL69">
        <v>24</v>
      </c>
      <c r="AM69">
        <v>12</v>
      </c>
      <c r="AO69">
        <v>2</v>
      </c>
      <c r="AP69">
        <v>450</v>
      </c>
      <c r="AT69">
        <v>1</v>
      </c>
      <c r="AV69">
        <v>100</v>
      </c>
    </row>
    <row r="70" spans="1:48">
      <c r="A70" s="17" t="s">
        <v>247</v>
      </c>
      <c r="C70">
        <v>748</v>
      </c>
      <c r="D70">
        <v>192</v>
      </c>
      <c r="E70">
        <v>210</v>
      </c>
      <c r="F70">
        <v>192</v>
      </c>
      <c r="J70">
        <v>3</v>
      </c>
      <c r="K70">
        <v>6.5</v>
      </c>
      <c r="L70">
        <v>1</v>
      </c>
      <c r="M70">
        <v>2</v>
      </c>
      <c r="P70">
        <v>450</v>
      </c>
      <c r="Q70">
        <v>100</v>
      </c>
      <c r="R70">
        <v>100</v>
      </c>
      <c r="S70">
        <v>1</v>
      </c>
      <c r="U70">
        <v>1000</v>
      </c>
      <c r="X70">
        <v>600</v>
      </c>
      <c r="Y70">
        <v>90</v>
      </c>
      <c r="Z70">
        <v>450</v>
      </c>
      <c r="AB70">
        <v>48</v>
      </c>
      <c r="AC70">
        <v>4</v>
      </c>
      <c r="AD70">
        <v>2</v>
      </c>
      <c r="AH70">
        <v>2</v>
      </c>
      <c r="AI70">
        <v>2</v>
      </c>
      <c r="AK70">
        <v>200</v>
      </c>
      <c r="AM70">
        <v>13</v>
      </c>
      <c r="AP70">
        <v>230</v>
      </c>
    </row>
    <row r="71" spans="1:48">
      <c r="A71" s="17" t="s">
        <v>140</v>
      </c>
      <c r="C71">
        <v>1620</v>
      </c>
      <c r="D71">
        <v>192</v>
      </c>
      <c r="E71">
        <v>130</v>
      </c>
      <c r="F71">
        <v>216</v>
      </c>
      <c r="J71">
        <v>1</v>
      </c>
      <c r="K71">
        <v>3</v>
      </c>
      <c r="M71">
        <v>4</v>
      </c>
      <c r="O71">
        <v>500</v>
      </c>
      <c r="P71">
        <v>1200</v>
      </c>
      <c r="Q71">
        <v>100</v>
      </c>
      <c r="S71">
        <v>1</v>
      </c>
      <c r="U71">
        <v>2000</v>
      </c>
      <c r="W71">
        <v>180</v>
      </c>
      <c r="X71">
        <v>720</v>
      </c>
      <c r="Y71">
        <v>210</v>
      </c>
      <c r="Z71">
        <v>630</v>
      </c>
      <c r="AB71">
        <v>12</v>
      </c>
      <c r="AC71">
        <v>8</v>
      </c>
      <c r="AD71">
        <v>3</v>
      </c>
      <c r="AE71">
        <v>2</v>
      </c>
      <c r="AF71">
        <v>25</v>
      </c>
      <c r="AH71">
        <v>2</v>
      </c>
      <c r="AI71">
        <v>9</v>
      </c>
      <c r="AL71">
        <v>12</v>
      </c>
      <c r="AM71">
        <v>10</v>
      </c>
      <c r="AN71">
        <v>2</v>
      </c>
      <c r="AP71">
        <v>140</v>
      </c>
      <c r="AT71">
        <v>3</v>
      </c>
    </row>
    <row r="72" spans="1:48">
      <c r="A72" s="17" t="s">
        <v>300</v>
      </c>
      <c r="C72">
        <v>3404</v>
      </c>
      <c r="D72">
        <v>500</v>
      </c>
      <c r="E72">
        <v>350</v>
      </c>
      <c r="F72">
        <v>960</v>
      </c>
      <c r="J72">
        <v>18</v>
      </c>
      <c r="K72">
        <v>44.5</v>
      </c>
      <c r="L72">
        <v>4</v>
      </c>
      <c r="M72">
        <v>24</v>
      </c>
      <c r="N72">
        <v>24</v>
      </c>
      <c r="O72">
        <v>2500</v>
      </c>
      <c r="P72">
        <v>2400</v>
      </c>
      <c r="Q72">
        <v>300</v>
      </c>
      <c r="R72">
        <v>300</v>
      </c>
      <c r="S72">
        <v>7.5</v>
      </c>
      <c r="U72">
        <v>4000</v>
      </c>
      <c r="W72">
        <v>180</v>
      </c>
      <c r="X72">
        <v>2100</v>
      </c>
      <c r="Y72">
        <v>270</v>
      </c>
      <c r="Z72">
        <v>1170</v>
      </c>
      <c r="AC72">
        <v>20</v>
      </c>
      <c r="AD72">
        <v>5</v>
      </c>
      <c r="AF72">
        <v>50</v>
      </c>
      <c r="AG72">
        <v>1</v>
      </c>
      <c r="AH72">
        <v>8</v>
      </c>
      <c r="AI72">
        <v>23</v>
      </c>
      <c r="AJ72">
        <v>100</v>
      </c>
      <c r="AK72">
        <v>500</v>
      </c>
      <c r="AL72">
        <v>24</v>
      </c>
      <c r="AM72">
        <v>39</v>
      </c>
      <c r="AN72">
        <v>1</v>
      </c>
      <c r="AP72">
        <v>550</v>
      </c>
      <c r="AT72">
        <v>3</v>
      </c>
      <c r="AU72">
        <v>1</v>
      </c>
      <c r="AV72">
        <v>200</v>
      </c>
    </row>
    <row r="73" spans="1:48">
      <c r="A73" s="17" t="s">
        <v>271</v>
      </c>
      <c r="B73">
        <v>10</v>
      </c>
      <c r="C73">
        <v>872</v>
      </c>
      <c r="D73">
        <v>132</v>
      </c>
      <c r="E73">
        <v>180</v>
      </c>
      <c r="F73">
        <v>168</v>
      </c>
      <c r="H73">
        <v>1</v>
      </c>
      <c r="I73">
        <v>1</v>
      </c>
      <c r="K73">
        <v>9</v>
      </c>
      <c r="L73">
        <v>1</v>
      </c>
      <c r="M73">
        <v>16</v>
      </c>
      <c r="N73">
        <v>12</v>
      </c>
      <c r="O73">
        <v>500</v>
      </c>
      <c r="P73">
        <v>450</v>
      </c>
      <c r="Q73">
        <v>100</v>
      </c>
      <c r="R73">
        <v>100</v>
      </c>
      <c r="S73">
        <v>1.5</v>
      </c>
      <c r="U73">
        <v>2000</v>
      </c>
      <c r="X73">
        <v>540</v>
      </c>
      <c r="Z73">
        <v>720</v>
      </c>
      <c r="AB73">
        <v>60</v>
      </c>
      <c r="AC73">
        <v>8</v>
      </c>
      <c r="AD73">
        <v>1</v>
      </c>
      <c r="AF73">
        <v>25</v>
      </c>
      <c r="AG73">
        <v>2</v>
      </c>
      <c r="AH73">
        <v>1</v>
      </c>
      <c r="AI73">
        <v>5</v>
      </c>
      <c r="AJ73">
        <v>100</v>
      </c>
      <c r="AK73">
        <v>100</v>
      </c>
      <c r="AL73">
        <v>6</v>
      </c>
      <c r="AM73">
        <v>3</v>
      </c>
      <c r="AN73">
        <v>0.5</v>
      </c>
      <c r="AO73">
        <v>9</v>
      </c>
      <c r="AP73">
        <v>160</v>
      </c>
      <c r="AU73">
        <v>1</v>
      </c>
    </row>
    <row r="74" spans="1:48">
      <c r="A74" s="17" t="s">
        <v>267</v>
      </c>
      <c r="C74">
        <v>736</v>
      </c>
      <c r="D74">
        <v>96</v>
      </c>
      <c r="E74">
        <v>110</v>
      </c>
      <c r="F74">
        <v>120</v>
      </c>
      <c r="L74">
        <v>1</v>
      </c>
      <c r="M74">
        <v>4</v>
      </c>
      <c r="P74">
        <v>450</v>
      </c>
      <c r="Q74">
        <v>100</v>
      </c>
      <c r="U74">
        <v>1000</v>
      </c>
      <c r="X74">
        <v>540</v>
      </c>
      <c r="Y74">
        <v>60</v>
      </c>
      <c r="Z74">
        <v>270</v>
      </c>
      <c r="AA74">
        <v>900</v>
      </c>
      <c r="AB74">
        <v>48</v>
      </c>
      <c r="AC74">
        <v>4</v>
      </c>
      <c r="AF74">
        <v>25</v>
      </c>
      <c r="AH74">
        <v>2</v>
      </c>
      <c r="AI74">
        <v>3</v>
      </c>
      <c r="AJ74">
        <v>100</v>
      </c>
      <c r="AK74">
        <v>100</v>
      </c>
      <c r="AL74">
        <v>6</v>
      </c>
      <c r="AM74">
        <v>3</v>
      </c>
      <c r="AP74">
        <v>100</v>
      </c>
      <c r="AS74">
        <v>1</v>
      </c>
    </row>
    <row r="75" spans="1:48">
      <c r="A75" s="17" t="s">
        <v>263</v>
      </c>
      <c r="C75">
        <v>1052</v>
      </c>
      <c r="D75">
        <v>192</v>
      </c>
      <c r="E75">
        <v>150</v>
      </c>
      <c r="J75">
        <v>3</v>
      </c>
      <c r="K75">
        <v>1</v>
      </c>
      <c r="M75">
        <v>6</v>
      </c>
      <c r="O75">
        <v>500</v>
      </c>
      <c r="P75">
        <v>450</v>
      </c>
      <c r="S75">
        <v>0.5</v>
      </c>
      <c r="U75">
        <v>1000</v>
      </c>
      <c r="X75">
        <v>540</v>
      </c>
      <c r="Y75">
        <v>120</v>
      </c>
      <c r="Z75">
        <v>540</v>
      </c>
      <c r="AA75">
        <v>1100</v>
      </c>
      <c r="AB75">
        <v>12</v>
      </c>
      <c r="AC75">
        <v>4</v>
      </c>
      <c r="AE75">
        <v>1</v>
      </c>
      <c r="AH75">
        <v>1</v>
      </c>
      <c r="AI75">
        <v>6</v>
      </c>
      <c r="AJ75">
        <v>200</v>
      </c>
      <c r="AK75">
        <v>200</v>
      </c>
      <c r="AL75">
        <v>6</v>
      </c>
      <c r="AM75">
        <v>4</v>
      </c>
      <c r="AP75">
        <v>280</v>
      </c>
    </row>
    <row r="76" spans="1:48">
      <c r="A76" s="17" t="s">
        <v>249</v>
      </c>
      <c r="C76">
        <v>564</v>
      </c>
      <c r="D76">
        <v>68</v>
      </c>
      <c r="E76">
        <v>90</v>
      </c>
      <c r="F76">
        <v>120</v>
      </c>
      <c r="K76">
        <v>8</v>
      </c>
      <c r="M76">
        <v>4</v>
      </c>
      <c r="N76">
        <v>12</v>
      </c>
      <c r="P76">
        <v>450</v>
      </c>
      <c r="Q76">
        <v>100</v>
      </c>
      <c r="R76">
        <v>100</v>
      </c>
      <c r="X76">
        <v>480</v>
      </c>
      <c r="Y76">
        <v>60</v>
      </c>
      <c r="Z76">
        <v>270</v>
      </c>
      <c r="AA76">
        <v>800</v>
      </c>
      <c r="AB76">
        <v>24</v>
      </c>
      <c r="AH76">
        <v>1</v>
      </c>
      <c r="AI76">
        <v>4</v>
      </c>
      <c r="AK76">
        <v>100</v>
      </c>
      <c r="AL76">
        <v>6</v>
      </c>
      <c r="AM76">
        <v>4</v>
      </c>
      <c r="AN76">
        <v>0.5</v>
      </c>
      <c r="AO76">
        <v>1</v>
      </c>
      <c r="AP76">
        <v>70</v>
      </c>
    </row>
    <row r="77" spans="1:48">
      <c r="A77" s="17" t="s">
        <v>223</v>
      </c>
      <c r="C77">
        <v>660</v>
      </c>
      <c r="D77">
        <v>56</v>
      </c>
      <c r="E77">
        <v>90</v>
      </c>
      <c r="M77">
        <v>4</v>
      </c>
      <c r="P77">
        <v>450</v>
      </c>
      <c r="U77">
        <v>1000</v>
      </c>
      <c r="X77">
        <v>420</v>
      </c>
      <c r="Z77">
        <v>270</v>
      </c>
      <c r="AB77">
        <v>36</v>
      </c>
      <c r="AC77">
        <v>4</v>
      </c>
      <c r="AH77">
        <v>1</v>
      </c>
      <c r="AI77">
        <v>4</v>
      </c>
      <c r="AJ77">
        <v>100</v>
      </c>
      <c r="AK77">
        <v>100</v>
      </c>
      <c r="AL77">
        <v>6</v>
      </c>
      <c r="AM77">
        <v>4</v>
      </c>
      <c r="AP77">
        <v>60</v>
      </c>
    </row>
    <row r="78" spans="1:48">
      <c r="A78" s="17" t="s">
        <v>301</v>
      </c>
      <c r="C78">
        <v>1084</v>
      </c>
      <c r="D78">
        <v>224</v>
      </c>
      <c r="E78">
        <v>60</v>
      </c>
      <c r="F78">
        <v>120</v>
      </c>
      <c r="J78">
        <v>4</v>
      </c>
      <c r="K78">
        <v>7.5</v>
      </c>
      <c r="M78">
        <v>14</v>
      </c>
      <c r="N78">
        <v>12</v>
      </c>
      <c r="O78">
        <v>500</v>
      </c>
      <c r="P78">
        <v>750</v>
      </c>
      <c r="S78">
        <v>0.5</v>
      </c>
      <c r="T78">
        <v>22</v>
      </c>
      <c r="U78">
        <v>1000</v>
      </c>
      <c r="X78">
        <v>780</v>
      </c>
      <c r="Z78">
        <v>270</v>
      </c>
      <c r="AB78">
        <v>60</v>
      </c>
      <c r="AC78">
        <v>4</v>
      </c>
      <c r="AD78">
        <v>1</v>
      </c>
      <c r="AE78">
        <v>0.5</v>
      </c>
      <c r="AI78">
        <v>8</v>
      </c>
      <c r="AJ78">
        <v>100</v>
      </c>
      <c r="AK78">
        <v>200</v>
      </c>
      <c r="AL78">
        <v>6</v>
      </c>
      <c r="AM78">
        <v>3</v>
      </c>
      <c r="AO78">
        <v>7</v>
      </c>
      <c r="AP78">
        <v>240</v>
      </c>
    </row>
    <row r="79" spans="1:48">
      <c r="A79" s="17" t="s">
        <v>393</v>
      </c>
      <c r="C79">
        <v>2000</v>
      </c>
      <c r="D79">
        <v>240</v>
      </c>
      <c r="E79">
        <v>160</v>
      </c>
      <c r="F79">
        <v>360</v>
      </c>
      <c r="K79">
        <v>20</v>
      </c>
      <c r="M79">
        <v>24</v>
      </c>
      <c r="N79">
        <v>24</v>
      </c>
      <c r="P79">
        <v>1350</v>
      </c>
      <c r="S79">
        <v>1</v>
      </c>
      <c r="U79">
        <v>1000</v>
      </c>
      <c r="X79">
        <v>1440</v>
      </c>
      <c r="Y79">
        <v>60</v>
      </c>
      <c r="Z79">
        <v>360</v>
      </c>
      <c r="AB79">
        <v>120</v>
      </c>
      <c r="AC79">
        <v>4</v>
      </c>
      <c r="AF79">
        <v>25</v>
      </c>
      <c r="AH79">
        <v>5</v>
      </c>
      <c r="AI79">
        <v>5</v>
      </c>
      <c r="AJ79">
        <v>100</v>
      </c>
      <c r="AK79">
        <v>200</v>
      </c>
      <c r="AL79">
        <v>12</v>
      </c>
      <c r="AM79">
        <v>10</v>
      </c>
      <c r="AN79">
        <v>5</v>
      </c>
      <c r="AP79">
        <v>210</v>
      </c>
    </row>
    <row r="80" spans="1:48">
      <c r="A80" s="17" t="s">
        <v>394</v>
      </c>
      <c r="C80">
        <v>1056</v>
      </c>
      <c r="D80">
        <v>80</v>
      </c>
      <c r="E80">
        <v>170</v>
      </c>
      <c r="F80">
        <v>120</v>
      </c>
      <c r="K80">
        <v>6</v>
      </c>
      <c r="L80">
        <v>1</v>
      </c>
      <c r="M80">
        <v>10</v>
      </c>
      <c r="N80">
        <v>12</v>
      </c>
      <c r="O80">
        <v>500</v>
      </c>
      <c r="P80">
        <v>600</v>
      </c>
      <c r="Q80">
        <v>200</v>
      </c>
      <c r="R80">
        <v>100</v>
      </c>
      <c r="S80">
        <v>1</v>
      </c>
      <c r="U80">
        <v>1000</v>
      </c>
      <c r="X80">
        <v>960</v>
      </c>
      <c r="Z80">
        <v>270</v>
      </c>
      <c r="AA80">
        <v>500</v>
      </c>
      <c r="AB80">
        <v>12</v>
      </c>
      <c r="AC80">
        <v>4</v>
      </c>
      <c r="AD80">
        <v>1</v>
      </c>
      <c r="AG80">
        <v>2</v>
      </c>
      <c r="AH80">
        <v>2</v>
      </c>
      <c r="AI80">
        <v>5</v>
      </c>
      <c r="AJ80">
        <v>100</v>
      </c>
      <c r="AL80">
        <v>6</v>
      </c>
      <c r="AM80">
        <v>10</v>
      </c>
      <c r="AN80">
        <v>1</v>
      </c>
      <c r="AO80">
        <v>1</v>
      </c>
      <c r="AP80">
        <v>90</v>
      </c>
    </row>
    <row r="81" spans="1:46">
      <c r="A81" s="17" t="s">
        <v>302</v>
      </c>
      <c r="B81">
        <v>60</v>
      </c>
      <c r="H81">
        <v>3</v>
      </c>
      <c r="I81">
        <v>8</v>
      </c>
      <c r="J81">
        <v>29</v>
      </c>
      <c r="K81">
        <v>56</v>
      </c>
      <c r="O81">
        <v>1500</v>
      </c>
      <c r="P81">
        <v>6600</v>
      </c>
      <c r="Q81">
        <v>700</v>
      </c>
      <c r="R81">
        <v>100</v>
      </c>
      <c r="T81">
        <v>32</v>
      </c>
      <c r="U81">
        <v>11000</v>
      </c>
      <c r="V81">
        <v>3</v>
      </c>
      <c r="W81">
        <v>60</v>
      </c>
      <c r="X81">
        <v>8640</v>
      </c>
      <c r="Y81">
        <v>390</v>
      </c>
      <c r="Z81">
        <v>1800</v>
      </c>
      <c r="AC81">
        <v>44</v>
      </c>
      <c r="AE81">
        <v>22</v>
      </c>
      <c r="AF81">
        <v>50</v>
      </c>
      <c r="AH81">
        <v>11</v>
      </c>
      <c r="AI81">
        <v>46</v>
      </c>
      <c r="AJ81">
        <v>200</v>
      </c>
      <c r="AK81">
        <v>1800</v>
      </c>
      <c r="AM81">
        <v>42</v>
      </c>
      <c r="AP81">
        <v>900</v>
      </c>
      <c r="AR81">
        <v>12</v>
      </c>
    </row>
    <row r="82" spans="1:46">
      <c r="A82" s="17" t="s">
        <v>281</v>
      </c>
      <c r="C82">
        <v>412</v>
      </c>
      <c r="D82">
        <v>60</v>
      </c>
      <c r="E82">
        <v>170</v>
      </c>
      <c r="F82">
        <v>240</v>
      </c>
      <c r="J82">
        <v>2</v>
      </c>
      <c r="K82">
        <v>6.5</v>
      </c>
      <c r="M82">
        <v>4</v>
      </c>
      <c r="P82">
        <v>300</v>
      </c>
      <c r="Q82">
        <v>100</v>
      </c>
      <c r="R82">
        <v>100</v>
      </c>
      <c r="S82">
        <v>1.5</v>
      </c>
      <c r="W82">
        <v>90</v>
      </c>
      <c r="X82">
        <v>240</v>
      </c>
      <c r="Y82">
        <v>90</v>
      </c>
      <c r="Z82">
        <v>270</v>
      </c>
      <c r="AB82">
        <v>24</v>
      </c>
      <c r="AE82">
        <v>0.5</v>
      </c>
      <c r="AH82">
        <v>2</v>
      </c>
      <c r="AI82">
        <v>3</v>
      </c>
      <c r="AL82">
        <v>2</v>
      </c>
      <c r="AM82">
        <v>4</v>
      </c>
      <c r="AO82">
        <v>2</v>
      </c>
      <c r="AP82">
        <v>60</v>
      </c>
      <c r="AT82">
        <v>2</v>
      </c>
    </row>
    <row r="83" spans="1:46">
      <c r="A83" s="17" t="s">
        <v>303</v>
      </c>
      <c r="B83">
        <v>20</v>
      </c>
      <c r="C83">
        <v>2016</v>
      </c>
      <c r="D83">
        <v>276</v>
      </c>
      <c r="E83">
        <v>210</v>
      </c>
      <c r="F83">
        <v>240</v>
      </c>
      <c r="I83">
        <v>2</v>
      </c>
      <c r="K83">
        <v>40</v>
      </c>
      <c r="L83">
        <v>1</v>
      </c>
      <c r="M83">
        <v>24</v>
      </c>
      <c r="O83">
        <v>500</v>
      </c>
      <c r="P83">
        <v>1800</v>
      </c>
      <c r="Q83">
        <v>200</v>
      </c>
      <c r="R83">
        <v>200</v>
      </c>
      <c r="S83">
        <v>2</v>
      </c>
      <c r="T83">
        <v>12</v>
      </c>
      <c r="U83">
        <v>3000</v>
      </c>
      <c r="V83">
        <v>1</v>
      </c>
      <c r="W83">
        <v>150</v>
      </c>
      <c r="X83">
        <v>1320</v>
      </c>
      <c r="Y83">
        <v>150</v>
      </c>
      <c r="Z83">
        <v>630</v>
      </c>
      <c r="AB83">
        <v>120</v>
      </c>
      <c r="AC83">
        <v>12</v>
      </c>
      <c r="AD83">
        <v>1</v>
      </c>
      <c r="AE83">
        <v>2</v>
      </c>
      <c r="AF83">
        <v>25</v>
      </c>
      <c r="AG83">
        <v>5</v>
      </c>
      <c r="AH83">
        <v>2</v>
      </c>
      <c r="AI83">
        <v>11</v>
      </c>
      <c r="AJ83">
        <v>100</v>
      </c>
      <c r="AK83">
        <v>300</v>
      </c>
      <c r="AL83">
        <v>24</v>
      </c>
      <c r="AM83">
        <v>20</v>
      </c>
      <c r="AN83">
        <v>2</v>
      </c>
      <c r="AO83">
        <v>2</v>
      </c>
      <c r="AP83">
        <v>260</v>
      </c>
      <c r="AS83">
        <v>5</v>
      </c>
    </row>
    <row r="84" spans="1:46">
      <c r="A84" s="17" t="s">
        <v>304</v>
      </c>
      <c r="B84">
        <v>10</v>
      </c>
      <c r="C84">
        <v>1820</v>
      </c>
      <c r="D84">
        <v>156</v>
      </c>
      <c r="E84">
        <v>230</v>
      </c>
      <c r="F84">
        <v>144</v>
      </c>
      <c r="H84">
        <v>2</v>
      </c>
      <c r="L84">
        <v>1</v>
      </c>
      <c r="M84">
        <v>20</v>
      </c>
      <c r="N84">
        <v>24</v>
      </c>
      <c r="O84">
        <v>500</v>
      </c>
      <c r="P84">
        <v>1050</v>
      </c>
      <c r="Q84">
        <v>300</v>
      </c>
      <c r="R84">
        <v>100</v>
      </c>
      <c r="S84">
        <v>1</v>
      </c>
      <c r="T84">
        <v>1</v>
      </c>
      <c r="U84">
        <v>2000</v>
      </c>
      <c r="V84">
        <v>1</v>
      </c>
      <c r="X84">
        <v>1320</v>
      </c>
      <c r="Z84">
        <v>720</v>
      </c>
      <c r="AB84">
        <v>108</v>
      </c>
      <c r="AC84">
        <v>8</v>
      </c>
      <c r="AD84">
        <v>1</v>
      </c>
      <c r="AF84">
        <v>25</v>
      </c>
      <c r="AH84">
        <v>2</v>
      </c>
      <c r="AK84">
        <v>300</v>
      </c>
      <c r="AL84">
        <v>18</v>
      </c>
      <c r="AM84">
        <v>6</v>
      </c>
      <c r="AO84">
        <v>3</v>
      </c>
      <c r="AP84">
        <v>190</v>
      </c>
    </row>
    <row r="85" spans="1:46">
      <c r="A85" s="17" t="s">
        <v>395</v>
      </c>
      <c r="C85">
        <v>616</v>
      </c>
      <c r="D85">
        <v>128</v>
      </c>
      <c r="E85">
        <v>100</v>
      </c>
      <c r="F85">
        <v>72</v>
      </c>
      <c r="M85">
        <v>6</v>
      </c>
      <c r="O85">
        <v>500</v>
      </c>
      <c r="P85">
        <v>450</v>
      </c>
      <c r="U85">
        <v>1000</v>
      </c>
      <c r="X85">
        <v>480</v>
      </c>
      <c r="Y85">
        <v>60</v>
      </c>
      <c r="Z85">
        <v>90</v>
      </c>
      <c r="AC85">
        <v>4</v>
      </c>
      <c r="AH85">
        <v>2</v>
      </c>
      <c r="AL85">
        <v>6</v>
      </c>
      <c r="AM85">
        <v>4</v>
      </c>
      <c r="AO85">
        <v>2</v>
      </c>
      <c r="AP85">
        <v>130</v>
      </c>
    </row>
    <row r="86" spans="1:46">
      <c r="A86" s="17" t="s">
        <v>146</v>
      </c>
      <c r="C86">
        <v>644</v>
      </c>
      <c r="D86">
        <v>96</v>
      </c>
      <c r="E86">
        <v>80</v>
      </c>
      <c r="F86">
        <v>24</v>
      </c>
      <c r="J86">
        <v>1</v>
      </c>
      <c r="K86">
        <v>5.5</v>
      </c>
      <c r="M86">
        <v>10</v>
      </c>
      <c r="O86">
        <v>500</v>
      </c>
      <c r="P86">
        <v>300</v>
      </c>
      <c r="Q86">
        <v>100</v>
      </c>
      <c r="U86">
        <v>1000</v>
      </c>
      <c r="X86">
        <v>420</v>
      </c>
      <c r="Y86">
        <v>60</v>
      </c>
      <c r="Z86">
        <v>270</v>
      </c>
      <c r="AA86">
        <v>100</v>
      </c>
      <c r="AB86">
        <v>36</v>
      </c>
      <c r="AC86">
        <v>4</v>
      </c>
      <c r="AH86">
        <v>1</v>
      </c>
      <c r="AI86">
        <v>2</v>
      </c>
      <c r="AJ86">
        <v>100</v>
      </c>
      <c r="AK86">
        <v>100</v>
      </c>
      <c r="AL86">
        <v>6</v>
      </c>
      <c r="AM86">
        <v>4</v>
      </c>
      <c r="AO86">
        <v>2</v>
      </c>
      <c r="AP86">
        <v>100</v>
      </c>
    </row>
    <row r="87" spans="1:46">
      <c r="A87" s="17" t="s">
        <v>305</v>
      </c>
      <c r="C87">
        <v>968</v>
      </c>
      <c r="D87">
        <v>152</v>
      </c>
      <c r="E87">
        <v>130</v>
      </c>
      <c r="F87">
        <v>96</v>
      </c>
      <c r="M87">
        <v>8</v>
      </c>
      <c r="O87">
        <v>500</v>
      </c>
      <c r="P87">
        <v>450</v>
      </c>
      <c r="Q87">
        <v>100</v>
      </c>
      <c r="S87">
        <v>0.5</v>
      </c>
      <c r="U87">
        <v>1000</v>
      </c>
      <c r="X87">
        <v>600</v>
      </c>
      <c r="Y87">
        <v>60</v>
      </c>
      <c r="Z87">
        <v>270</v>
      </c>
      <c r="AB87">
        <v>60</v>
      </c>
      <c r="AC87">
        <v>4</v>
      </c>
      <c r="AE87">
        <v>0.5</v>
      </c>
      <c r="AH87">
        <v>1</v>
      </c>
      <c r="AI87">
        <v>7</v>
      </c>
      <c r="AJ87">
        <v>100</v>
      </c>
      <c r="AK87">
        <v>100</v>
      </c>
      <c r="AL87">
        <v>6</v>
      </c>
      <c r="AM87">
        <v>7</v>
      </c>
      <c r="AN87">
        <v>0.5</v>
      </c>
      <c r="AP87">
        <v>130</v>
      </c>
    </row>
    <row r="88" spans="1:46">
      <c r="A88" s="17" t="s">
        <v>396</v>
      </c>
      <c r="C88">
        <v>584</v>
      </c>
      <c r="D88">
        <v>64</v>
      </c>
      <c r="E88">
        <v>10</v>
      </c>
      <c r="F88">
        <v>48</v>
      </c>
      <c r="H88">
        <v>1</v>
      </c>
      <c r="J88">
        <v>1</v>
      </c>
      <c r="M88">
        <v>10</v>
      </c>
      <c r="N88">
        <v>36</v>
      </c>
      <c r="O88">
        <v>500</v>
      </c>
      <c r="P88">
        <v>450</v>
      </c>
      <c r="R88">
        <v>100</v>
      </c>
      <c r="U88">
        <v>1000</v>
      </c>
      <c r="X88">
        <v>420</v>
      </c>
      <c r="Y88">
        <v>60</v>
      </c>
      <c r="Z88">
        <v>270</v>
      </c>
      <c r="AA88">
        <v>600</v>
      </c>
      <c r="AB88">
        <v>24</v>
      </c>
      <c r="AC88">
        <v>4</v>
      </c>
      <c r="AE88">
        <v>1</v>
      </c>
      <c r="AF88">
        <v>25</v>
      </c>
      <c r="AG88">
        <v>2</v>
      </c>
      <c r="AH88">
        <v>1</v>
      </c>
      <c r="AI88">
        <v>4</v>
      </c>
      <c r="AK88">
        <v>100</v>
      </c>
      <c r="AL88">
        <v>6</v>
      </c>
      <c r="AM88">
        <v>4</v>
      </c>
      <c r="AN88">
        <v>0.5</v>
      </c>
      <c r="AP88">
        <v>120</v>
      </c>
      <c r="AS88">
        <v>1</v>
      </c>
    </row>
    <row r="89" spans="1:46">
      <c r="A89" s="17" t="s">
        <v>306</v>
      </c>
      <c r="C89">
        <v>1824</v>
      </c>
      <c r="D89">
        <v>384</v>
      </c>
      <c r="E89">
        <v>240</v>
      </c>
      <c r="F89">
        <v>192</v>
      </c>
      <c r="I89">
        <v>1</v>
      </c>
      <c r="K89">
        <v>32</v>
      </c>
      <c r="M89">
        <v>24</v>
      </c>
      <c r="O89">
        <v>500</v>
      </c>
      <c r="P89">
        <v>1200</v>
      </c>
      <c r="Q89">
        <v>200</v>
      </c>
      <c r="S89">
        <v>1</v>
      </c>
      <c r="U89">
        <v>2000</v>
      </c>
      <c r="V89">
        <v>1</v>
      </c>
      <c r="W89">
        <v>150</v>
      </c>
      <c r="X89">
        <v>1320</v>
      </c>
      <c r="Y89">
        <v>150</v>
      </c>
      <c r="Z89">
        <v>540</v>
      </c>
      <c r="AB89">
        <v>120</v>
      </c>
      <c r="AC89">
        <v>8</v>
      </c>
      <c r="AD89">
        <v>1</v>
      </c>
      <c r="AE89">
        <v>2</v>
      </c>
      <c r="AH89">
        <v>1</v>
      </c>
      <c r="AI89">
        <v>15</v>
      </c>
      <c r="AK89">
        <v>300</v>
      </c>
      <c r="AL89">
        <v>24</v>
      </c>
      <c r="AM89">
        <v>19</v>
      </c>
      <c r="AN89">
        <v>1</v>
      </c>
      <c r="AP89">
        <v>400</v>
      </c>
    </row>
    <row r="90" spans="1:46">
      <c r="A90" s="17" t="s">
        <v>190</v>
      </c>
      <c r="B90">
        <v>20</v>
      </c>
      <c r="C90">
        <v>1856</v>
      </c>
      <c r="D90">
        <v>268</v>
      </c>
      <c r="E90">
        <v>1020</v>
      </c>
      <c r="F90">
        <v>816</v>
      </c>
      <c r="K90">
        <v>22</v>
      </c>
      <c r="L90">
        <v>2</v>
      </c>
      <c r="M90">
        <v>16</v>
      </c>
      <c r="N90">
        <v>48</v>
      </c>
      <c r="O90">
        <v>500</v>
      </c>
      <c r="P90">
        <v>1200</v>
      </c>
      <c r="Q90">
        <v>300</v>
      </c>
      <c r="R90">
        <v>400</v>
      </c>
      <c r="S90">
        <v>2</v>
      </c>
      <c r="U90">
        <v>3000</v>
      </c>
      <c r="V90">
        <v>1</v>
      </c>
      <c r="X90">
        <v>1380</v>
      </c>
      <c r="Y90">
        <v>330</v>
      </c>
      <c r="Z90">
        <v>1620</v>
      </c>
      <c r="AB90">
        <v>60</v>
      </c>
      <c r="AC90">
        <v>12</v>
      </c>
      <c r="AE90">
        <v>3</v>
      </c>
      <c r="AF90">
        <v>25</v>
      </c>
      <c r="AH90">
        <v>10</v>
      </c>
      <c r="AI90">
        <v>14</v>
      </c>
      <c r="AJ90">
        <v>900</v>
      </c>
      <c r="AK90">
        <v>300</v>
      </c>
      <c r="AL90">
        <v>10</v>
      </c>
      <c r="AM90">
        <v>20</v>
      </c>
      <c r="AO90">
        <v>10</v>
      </c>
      <c r="AP90">
        <v>190</v>
      </c>
    </row>
    <row r="91" spans="1:46">
      <c r="A91" s="17" t="s">
        <v>111</v>
      </c>
      <c r="C91">
        <v>628</v>
      </c>
      <c r="D91">
        <v>136</v>
      </c>
      <c r="E91">
        <v>270</v>
      </c>
      <c r="F91">
        <v>264</v>
      </c>
      <c r="J91">
        <v>4</v>
      </c>
      <c r="K91">
        <v>8.5</v>
      </c>
      <c r="L91">
        <v>2</v>
      </c>
      <c r="M91">
        <v>16</v>
      </c>
      <c r="P91">
        <v>450</v>
      </c>
      <c r="Q91">
        <v>200</v>
      </c>
      <c r="R91">
        <v>100</v>
      </c>
      <c r="S91">
        <v>1</v>
      </c>
      <c r="T91">
        <v>1</v>
      </c>
      <c r="U91">
        <v>1000</v>
      </c>
      <c r="V91">
        <v>1</v>
      </c>
      <c r="X91">
        <v>660</v>
      </c>
      <c r="Y91">
        <v>240</v>
      </c>
      <c r="Z91">
        <v>270</v>
      </c>
      <c r="AB91">
        <v>24</v>
      </c>
      <c r="AC91">
        <v>4</v>
      </c>
      <c r="AD91">
        <v>1</v>
      </c>
      <c r="AH91">
        <v>1</v>
      </c>
      <c r="AI91">
        <v>5</v>
      </c>
      <c r="AJ91">
        <v>200</v>
      </c>
      <c r="AK91">
        <v>100</v>
      </c>
      <c r="AL91">
        <v>10</v>
      </c>
      <c r="AM91">
        <v>9</v>
      </c>
      <c r="AO91">
        <v>5</v>
      </c>
      <c r="AP91">
        <v>120</v>
      </c>
    </row>
    <row r="92" spans="1:46">
      <c r="A92" s="17" t="s">
        <v>275</v>
      </c>
      <c r="B92">
        <v>10</v>
      </c>
      <c r="C92">
        <v>792</v>
      </c>
      <c r="D92">
        <v>72</v>
      </c>
      <c r="E92">
        <v>270</v>
      </c>
      <c r="F92">
        <v>240</v>
      </c>
      <c r="H92">
        <v>1</v>
      </c>
      <c r="K92">
        <v>16</v>
      </c>
      <c r="M92">
        <v>18</v>
      </c>
      <c r="N92">
        <v>12</v>
      </c>
      <c r="P92">
        <v>150</v>
      </c>
      <c r="Q92">
        <v>100</v>
      </c>
      <c r="R92">
        <v>100</v>
      </c>
      <c r="S92">
        <v>1</v>
      </c>
      <c r="U92">
        <v>1000</v>
      </c>
      <c r="X92">
        <v>420</v>
      </c>
      <c r="Y92">
        <v>180</v>
      </c>
      <c r="Z92">
        <v>450</v>
      </c>
      <c r="AB92">
        <v>60</v>
      </c>
      <c r="AC92">
        <v>4</v>
      </c>
      <c r="AD92">
        <v>2</v>
      </c>
      <c r="AE92">
        <v>0.5</v>
      </c>
      <c r="AF92">
        <v>25</v>
      </c>
      <c r="AH92">
        <v>4</v>
      </c>
      <c r="AI92">
        <v>2</v>
      </c>
      <c r="AJ92">
        <v>100</v>
      </c>
      <c r="AL92">
        <v>4</v>
      </c>
      <c r="AM92">
        <v>9</v>
      </c>
      <c r="AP92">
        <v>100</v>
      </c>
    </row>
    <row r="93" spans="1:46">
      <c r="A93" s="17" t="s">
        <v>229</v>
      </c>
      <c r="C93">
        <v>1496</v>
      </c>
      <c r="D93">
        <v>100</v>
      </c>
      <c r="E93">
        <v>90</v>
      </c>
      <c r="F93">
        <v>312</v>
      </c>
      <c r="J93">
        <v>3</v>
      </c>
      <c r="K93">
        <v>8</v>
      </c>
      <c r="M93">
        <v>6</v>
      </c>
      <c r="N93">
        <v>12</v>
      </c>
      <c r="O93">
        <v>1000</v>
      </c>
      <c r="P93">
        <v>900</v>
      </c>
      <c r="R93">
        <v>100</v>
      </c>
      <c r="S93">
        <v>1.5</v>
      </c>
      <c r="U93">
        <v>2000</v>
      </c>
      <c r="V93">
        <v>1</v>
      </c>
      <c r="X93">
        <v>840</v>
      </c>
      <c r="Y93">
        <v>60</v>
      </c>
      <c r="Z93">
        <v>720</v>
      </c>
      <c r="AB93">
        <v>48</v>
      </c>
      <c r="AC93">
        <v>8</v>
      </c>
      <c r="AD93">
        <v>3</v>
      </c>
      <c r="AE93">
        <v>3</v>
      </c>
      <c r="AF93">
        <v>25</v>
      </c>
      <c r="AH93">
        <v>2</v>
      </c>
      <c r="AI93">
        <v>4</v>
      </c>
      <c r="AL93">
        <v>8</v>
      </c>
      <c r="AM93">
        <v>15</v>
      </c>
      <c r="AN93">
        <v>0.5</v>
      </c>
      <c r="AP93">
        <v>110</v>
      </c>
      <c r="AT93">
        <v>2</v>
      </c>
    </row>
    <row r="94" spans="1:46">
      <c r="A94" s="17" t="s">
        <v>125</v>
      </c>
      <c r="C94">
        <v>2688</v>
      </c>
      <c r="D94">
        <v>412</v>
      </c>
      <c r="E94">
        <v>700</v>
      </c>
      <c r="F94">
        <v>600</v>
      </c>
      <c r="I94">
        <v>1</v>
      </c>
      <c r="J94">
        <v>5</v>
      </c>
      <c r="K94">
        <v>22.5</v>
      </c>
      <c r="L94">
        <v>3</v>
      </c>
      <c r="M94">
        <v>34</v>
      </c>
      <c r="N94">
        <v>72</v>
      </c>
      <c r="O94">
        <v>1500</v>
      </c>
      <c r="P94">
        <v>1050</v>
      </c>
      <c r="Q94">
        <v>100</v>
      </c>
      <c r="R94">
        <v>300</v>
      </c>
      <c r="S94">
        <v>2.5</v>
      </c>
      <c r="U94">
        <v>3000</v>
      </c>
      <c r="V94">
        <v>1</v>
      </c>
      <c r="X94">
        <v>1980</v>
      </c>
      <c r="Y94">
        <v>270</v>
      </c>
      <c r="Z94">
        <v>1440</v>
      </c>
      <c r="AB94">
        <v>120</v>
      </c>
      <c r="AC94">
        <v>12</v>
      </c>
      <c r="AD94">
        <v>3</v>
      </c>
      <c r="AE94">
        <v>2</v>
      </c>
      <c r="AF94">
        <v>50</v>
      </c>
      <c r="AH94">
        <v>10</v>
      </c>
      <c r="AI94">
        <v>11</v>
      </c>
      <c r="AJ94">
        <v>500</v>
      </c>
      <c r="AK94">
        <v>300</v>
      </c>
      <c r="AL94">
        <v>24</v>
      </c>
      <c r="AM94">
        <v>11</v>
      </c>
      <c r="AN94">
        <v>2</v>
      </c>
      <c r="AO94">
        <v>20</v>
      </c>
      <c r="AP94">
        <v>410</v>
      </c>
    </row>
    <row r="95" spans="1:46">
      <c r="A95" s="17" t="s">
        <v>245</v>
      </c>
      <c r="C95">
        <v>264</v>
      </c>
      <c r="D95">
        <v>52</v>
      </c>
      <c r="E95">
        <v>110</v>
      </c>
      <c r="F95">
        <v>96</v>
      </c>
      <c r="K95">
        <v>4</v>
      </c>
      <c r="M95">
        <v>8</v>
      </c>
      <c r="N95">
        <v>12</v>
      </c>
      <c r="R95">
        <v>100</v>
      </c>
      <c r="V95">
        <v>1</v>
      </c>
      <c r="X95">
        <v>60</v>
      </c>
      <c r="Z95">
        <v>270</v>
      </c>
      <c r="AB95">
        <v>24</v>
      </c>
      <c r="AG95">
        <v>2</v>
      </c>
      <c r="AH95">
        <v>4</v>
      </c>
      <c r="AI95">
        <v>3</v>
      </c>
      <c r="AJ95">
        <v>100</v>
      </c>
      <c r="AL95">
        <v>6</v>
      </c>
      <c r="AM95">
        <v>3</v>
      </c>
      <c r="AP95">
        <v>40</v>
      </c>
      <c r="AS95">
        <v>1</v>
      </c>
    </row>
    <row r="96" spans="1:46">
      <c r="A96" s="17" t="s">
        <v>235</v>
      </c>
      <c r="B96">
        <v>10</v>
      </c>
      <c r="C96">
        <v>528</v>
      </c>
      <c r="D96">
        <v>236</v>
      </c>
      <c r="E96">
        <v>180</v>
      </c>
      <c r="F96">
        <v>192</v>
      </c>
      <c r="K96">
        <v>2</v>
      </c>
      <c r="M96">
        <v>8</v>
      </c>
      <c r="P96">
        <v>150</v>
      </c>
      <c r="R96">
        <v>100</v>
      </c>
      <c r="S96">
        <v>0.5</v>
      </c>
      <c r="U96">
        <v>1000</v>
      </c>
      <c r="X96">
        <v>240</v>
      </c>
      <c r="Y96">
        <v>60</v>
      </c>
      <c r="Z96">
        <v>450</v>
      </c>
      <c r="AB96">
        <v>12</v>
      </c>
      <c r="AC96">
        <v>4</v>
      </c>
      <c r="AF96">
        <v>25</v>
      </c>
      <c r="AH96">
        <v>3</v>
      </c>
      <c r="AI96">
        <v>3</v>
      </c>
      <c r="AJ96">
        <v>100</v>
      </c>
      <c r="AK96">
        <v>100</v>
      </c>
      <c r="AL96">
        <v>8</v>
      </c>
      <c r="AM96">
        <v>3</v>
      </c>
      <c r="AO96">
        <v>3</v>
      </c>
      <c r="AP96">
        <v>140</v>
      </c>
    </row>
    <row r="97" spans="1:49">
      <c r="A97" s="17" t="s">
        <v>117</v>
      </c>
      <c r="C97">
        <v>900</v>
      </c>
      <c r="D97">
        <v>160</v>
      </c>
      <c r="E97">
        <v>140</v>
      </c>
      <c r="F97">
        <v>264</v>
      </c>
      <c r="J97">
        <v>2</v>
      </c>
      <c r="K97">
        <v>4</v>
      </c>
      <c r="L97">
        <v>1</v>
      </c>
      <c r="M97">
        <v>4</v>
      </c>
      <c r="N97">
        <v>12</v>
      </c>
      <c r="P97">
        <v>450</v>
      </c>
      <c r="R97">
        <v>100</v>
      </c>
      <c r="S97">
        <v>0.5</v>
      </c>
      <c r="U97">
        <v>1000</v>
      </c>
      <c r="V97">
        <v>1</v>
      </c>
      <c r="X97">
        <v>540</v>
      </c>
      <c r="Y97">
        <v>90</v>
      </c>
      <c r="Z97">
        <v>360</v>
      </c>
      <c r="AB97">
        <v>48</v>
      </c>
      <c r="AC97">
        <v>4</v>
      </c>
      <c r="AD97">
        <v>1</v>
      </c>
      <c r="AE97">
        <v>0.5</v>
      </c>
      <c r="AH97">
        <v>2</v>
      </c>
      <c r="AI97">
        <v>5</v>
      </c>
      <c r="AJ97">
        <v>100</v>
      </c>
      <c r="AK97">
        <v>200</v>
      </c>
      <c r="AL97">
        <v>8</v>
      </c>
      <c r="AM97">
        <v>13</v>
      </c>
      <c r="AN97">
        <v>0.5</v>
      </c>
      <c r="AP97">
        <v>160</v>
      </c>
    </row>
    <row r="98" spans="1:49">
      <c r="A98" s="17" t="s">
        <v>142</v>
      </c>
      <c r="B98">
        <v>10</v>
      </c>
      <c r="C98">
        <v>688</v>
      </c>
      <c r="D98">
        <v>116</v>
      </c>
      <c r="E98">
        <v>100</v>
      </c>
      <c r="F98">
        <v>240</v>
      </c>
      <c r="J98">
        <v>1</v>
      </c>
      <c r="K98">
        <v>6</v>
      </c>
      <c r="L98">
        <v>1</v>
      </c>
      <c r="M98">
        <v>18</v>
      </c>
      <c r="N98">
        <v>12</v>
      </c>
      <c r="P98">
        <v>450</v>
      </c>
      <c r="Q98">
        <v>100</v>
      </c>
      <c r="R98">
        <v>100</v>
      </c>
      <c r="S98">
        <v>1</v>
      </c>
      <c r="U98">
        <v>1000</v>
      </c>
      <c r="W98">
        <v>30</v>
      </c>
      <c r="X98">
        <v>600</v>
      </c>
      <c r="Y98">
        <v>30</v>
      </c>
      <c r="Z98">
        <v>270</v>
      </c>
      <c r="AB98">
        <v>48</v>
      </c>
      <c r="AC98">
        <v>4</v>
      </c>
      <c r="AD98">
        <v>3</v>
      </c>
      <c r="AE98">
        <v>2</v>
      </c>
      <c r="AF98">
        <v>25</v>
      </c>
      <c r="AH98">
        <v>1</v>
      </c>
      <c r="AI98">
        <v>5</v>
      </c>
      <c r="AK98">
        <v>100</v>
      </c>
      <c r="AL98">
        <v>8</v>
      </c>
      <c r="AM98">
        <v>4</v>
      </c>
      <c r="AO98">
        <v>2</v>
      </c>
      <c r="AP98">
        <v>130</v>
      </c>
      <c r="AV98">
        <v>100</v>
      </c>
    </row>
    <row r="99" spans="1:49">
      <c r="A99" s="17" t="s">
        <v>216</v>
      </c>
      <c r="C99">
        <v>1456</v>
      </c>
      <c r="D99">
        <v>176</v>
      </c>
      <c r="E99">
        <v>20</v>
      </c>
      <c r="F99">
        <v>48</v>
      </c>
      <c r="G99">
        <v>2</v>
      </c>
      <c r="J99">
        <v>1</v>
      </c>
      <c r="K99">
        <v>10</v>
      </c>
      <c r="M99">
        <v>12</v>
      </c>
      <c r="N99">
        <v>12</v>
      </c>
      <c r="P99">
        <v>1650</v>
      </c>
      <c r="S99">
        <v>2.5</v>
      </c>
      <c r="U99">
        <v>3000</v>
      </c>
      <c r="V99">
        <v>1</v>
      </c>
      <c r="W99">
        <v>60</v>
      </c>
      <c r="X99">
        <v>720</v>
      </c>
      <c r="Y99">
        <v>120</v>
      </c>
      <c r="Z99">
        <v>450</v>
      </c>
      <c r="AB99">
        <v>72</v>
      </c>
      <c r="AC99">
        <v>12</v>
      </c>
      <c r="AD99">
        <v>2</v>
      </c>
      <c r="AE99">
        <v>0.5</v>
      </c>
      <c r="AH99">
        <v>5</v>
      </c>
      <c r="AI99">
        <v>22</v>
      </c>
      <c r="AK99">
        <v>100</v>
      </c>
      <c r="AL99">
        <v>16</v>
      </c>
      <c r="AM99">
        <v>13</v>
      </c>
      <c r="AO99">
        <v>1</v>
      </c>
      <c r="AP99">
        <v>280</v>
      </c>
    </row>
    <row r="100" spans="1:49">
      <c r="A100" s="17" t="s">
        <v>148</v>
      </c>
      <c r="C100">
        <v>1248</v>
      </c>
      <c r="D100">
        <v>116</v>
      </c>
      <c r="E100">
        <v>180</v>
      </c>
      <c r="F100">
        <v>264</v>
      </c>
      <c r="I100">
        <v>1</v>
      </c>
      <c r="L100">
        <v>1</v>
      </c>
      <c r="M100">
        <v>22</v>
      </c>
      <c r="O100">
        <v>1000</v>
      </c>
      <c r="P100">
        <v>750</v>
      </c>
      <c r="R100">
        <v>100</v>
      </c>
      <c r="S100">
        <v>1</v>
      </c>
      <c r="U100">
        <v>3000</v>
      </c>
      <c r="V100">
        <v>1</v>
      </c>
      <c r="X100">
        <v>720</v>
      </c>
      <c r="Y100">
        <v>30</v>
      </c>
      <c r="Z100">
        <v>180</v>
      </c>
      <c r="AB100">
        <v>72</v>
      </c>
      <c r="AC100">
        <v>12</v>
      </c>
      <c r="AE100">
        <v>0.5</v>
      </c>
      <c r="AG100">
        <v>4</v>
      </c>
      <c r="AI100">
        <v>9</v>
      </c>
      <c r="AJ100">
        <v>400</v>
      </c>
      <c r="AK100">
        <v>200</v>
      </c>
      <c r="AL100">
        <v>10</v>
      </c>
      <c r="AM100">
        <v>4</v>
      </c>
      <c r="AN100">
        <v>1</v>
      </c>
      <c r="AO100">
        <v>8</v>
      </c>
      <c r="AP100">
        <v>130</v>
      </c>
    </row>
    <row r="101" spans="1:49">
      <c r="A101" s="17" t="s">
        <v>128</v>
      </c>
      <c r="C101">
        <v>1136</v>
      </c>
      <c r="D101">
        <v>212</v>
      </c>
      <c r="E101">
        <v>220</v>
      </c>
      <c r="F101">
        <v>240</v>
      </c>
      <c r="J101">
        <v>1</v>
      </c>
      <c r="K101">
        <v>10</v>
      </c>
      <c r="L101">
        <v>2</v>
      </c>
      <c r="M101">
        <v>18</v>
      </c>
      <c r="N101">
        <v>24</v>
      </c>
      <c r="O101">
        <v>500</v>
      </c>
      <c r="P101">
        <v>900</v>
      </c>
      <c r="R101">
        <v>200</v>
      </c>
      <c r="S101">
        <v>1</v>
      </c>
      <c r="U101">
        <v>2000</v>
      </c>
      <c r="X101">
        <v>840</v>
      </c>
      <c r="Y101">
        <v>150</v>
      </c>
      <c r="Z101">
        <v>720</v>
      </c>
      <c r="AB101">
        <v>84</v>
      </c>
      <c r="AC101">
        <v>8</v>
      </c>
      <c r="AE101">
        <v>1</v>
      </c>
      <c r="AF101">
        <v>25</v>
      </c>
      <c r="AH101">
        <v>3</v>
      </c>
      <c r="AI101">
        <v>9</v>
      </c>
      <c r="AJ101">
        <v>200</v>
      </c>
      <c r="AK101">
        <v>200</v>
      </c>
      <c r="AL101">
        <v>10</v>
      </c>
      <c r="AM101">
        <v>7</v>
      </c>
      <c r="AO101">
        <v>12</v>
      </c>
      <c r="AP101">
        <v>190</v>
      </c>
    </row>
    <row r="102" spans="1:49">
      <c r="A102" s="17" t="s">
        <v>99</v>
      </c>
      <c r="B102">
        <v>10</v>
      </c>
      <c r="C102">
        <v>360</v>
      </c>
      <c r="D102">
        <v>56</v>
      </c>
      <c r="E102">
        <v>150</v>
      </c>
      <c r="J102">
        <v>12</v>
      </c>
      <c r="K102">
        <v>21</v>
      </c>
      <c r="L102">
        <v>2</v>
      </c>
      <c r="AE102">
        <v>0.5</v>
      </c>
      <c r="AH102">
        <v>3</v>
      </c>
      <c r="AI102">
        <v>7</v>
      </c>
      <c r="AJ102">
        <v>100</v>
      </c>
      <c r="AL102">
        <v>4</v>
      </c>
      <c r="AM102">
        <v>12</v>
      </c>
      <c r="AN102">
        <v>0.5</v>
      </c>
      <c r="AO102">
        <v>7</v>
      </c>
      <c r="AS102">
        <v>1</v>
      </c>
    </row>
    <row r="103" spans="1:49">
      <c r="A103" s="17" t="s">
        <v>233</v>
      </c>
      <c r="B103">
        <v>10</v>
      </c>
      <c r="C103">
        <v>728</v>
      </c>
      <c r="D103">
        <v>76</v>
      </c>
      <c r="E103">
        <v>270</v>
      </c>
      <c r="F103">
        <v>192</v>
      </c>
      <c r="G103">
        <v>1</v>
      </c>
      <c r="K103">
        <v>7</v>
      </c>
      <c r="L103">
        <v>1</v>
      </c>
      <c r="M103">
        <v>6</v>
      </c>
      <c r="N103">
        <v>12</v>
      </c>
      <c r="O103">
        <v>1000</v>
      </c>
      <c r="P103">
        <v>600</v>
      </c>
      <c r="Q103">
        <v>200</v>
      </c>
      <c r="R103">
        <v>100</v>
      </c>
      <c r="S103">
        <v>1.5</v>
      </c>
      <c r="U103">
        <v>3000</v>
      </c>
      <c r="X103">
        <v>720</v>
      </c>
      <c r="Y103">
        <v>60</v>
      </c>
      <c r="Z103">
        <v>450</v>
      </c>
      <c r="AB103">
        <v>36</v>
      </c>
      <c r="AC103">
        <v>12</v>
      </c>
      <c r="AE103">
        <v>1</v>
      </c>
      <c r="AG103">
        <v>3</v>
      </c>
      <c r="AH103">
        <v>2</v>
      </c>
      <c r="AI103">
        <v>12</v>
      </c>
      <c r="AJ103">
        <v>300</v>
      </c>
      <c r="AK103">
        <v>400</v>
      </c>
      <c r="AL103">
        <v>6</v>
      </c>
      <c r="AM103">
        <v>4</v>
      </c>
      <c r="AP103">
        <v>60</v>
      </c>
    </row>
    <row r="104" spans="1:49">
      <c r="A104" s="17" t="s">
        <v>265</v>
      </c>
      <c r="C104">
        <v>680</v>
      </c>
      <c r="D104">
        <v>60</v>
      </c>
      <c r="E104">
        <v>320</v>
      </c>
      <c r="F104">
        <v>168</v>
      </c>
      <c r="K104">
        <v>3</v>
      </c>
      <c r="M104">
        <v>10</v>
      </c>
      <c r="N104">
        <v>12</v>
      </c>
      <c r="P104">
        <v>450</v>
      </c>
      <c r="Q104">
        <v>200</v>
      </c>
      <c r="R104">
        <v>100</v>
      </c>
      <c r="S104">
        <v>0.5</v>
      </c>
      <c r="U104">
        <v>1000</v>
      </c>
      <c r="V104">
        <v>1</v>
      </c>
      <c r="X104">
        <v>540</v>
      </c>
      <c r="Y104">
        <v>90</v>
      </c>
      <c r="Z104">
        <v>360</v>
      </c>
      <c r="AA104">
        <v>100</v>
      </c>
      <c r="AB104">
        <v>12</v>
      </c>
      <c r="AC104">
        <v>5</v>
      </c>
      <c r="AH104">
        <v>4</v>
      </c>
      <c r="AI104">
        <v>5</v>
      </c>
      <c r="AJ104">
        <v>200</v>
      </c>
      <c r="AK104">
        <v>100</v>
      </c>
      <c r="AL104">
        <v>8</v>
      </c>
      <c r="AM104">
        <v>4</v>
      </c>
      <c r="AN104">
        <v>0.5</v>
      </c>
      <c r="AP104">
        <v>60</v>
      </c>
    </row>
    <row r="105" spans="1:49">
      <c r="A105" s="17" t="s">
        <v>198</v>
      </c>
      <c r="C105">
        <v>644</v>
      </c>
      <c r="D105">
        <v>48</v>
      </c>
      <c r="E105">
        <v>160</v>
      </c>
      <c r="F105">
        <v>144</v>
      </c>
      <c r="J105">
        <v>1</v>
      </c>
      <c r="K105">
        <v>1</v>
      </c>
      <c r="L105">
        <v>1</v>
      </c>
      <c r="M105">
        <v>6</v>
      </c>
      <c r="N105">
        <v>12</v>
      </c>
      <c r="P105">
        <v>300</v>
      </c>
      <c r="Q105">
        <v>100</v>
      </c>
      <c r="S105">
        <v>1</v>
      </c>
      <c r="X105">
        <v>720</v>
      </c>
      <c r="Y105">
        <v>60</v>
      </c>
      <c r="Z105">
        <v>540</v>
      </c>
      <c r="AB105">
        <v>48</v>
      </c>
      <c r="AD105">
        <v>1</v>
      </c>
      <c r="AF105">
        <v>25</v>
      </c>
      <c r="AH105">
        <v>1</v>
      </c>
      <c r="AI105">
        <v>3</v>
      </c>
      <c r="AJ105">
        <v>200</v>
      </c>
      <c r="AL105">
        <v>6</v>
      </c>
      <c r="AM105">
        <v>5</v>
      </c>
      <c r="AO105">
        <v>1</v>
      </c>
      <c r="AP105">
        <v>50</v>
      </c>
      <c r="AT105">
        <v>1</v>
      </c>
    </row>
    <row r="106" spans="1:49">
      <c r="A106" s="17" t="s">
        <v>307</v>
      </c>
      <c r="C106">
        <v>708</v>
      </c>
      <c r="D106">
        <v>36</v>
      </c>
      <c r="E106">
        <v>90</v>
      </c>
      <c r="F106">
        <v>72</v>
      </c>
      <c r="H106">
        <v>1</v>
      </c>
      <c r="I106">
        <v>4</v>
      </c>
      <c r="K106">
        <v>2</v>
      </c>
      <c r="M106">
        <v>4</v>
      </c>
      <c r="N106">
        <v>12</v>
      </c>
      <c r="P106">
        <v>450</v>
      </c>
      <c r="U106">
        <v>1000</v>
      </c>
      <c r="X106">
        <v>360</v>
      </c>
      <c r="Z106">
        <v>450</v>
      </c>
      <c r="AA106">
        <v>900</v>
      </c>
      <c r="AB106">
        <v>36</v>
      </c>
      <c r="AC106">
        <v>4</v>
      </c>
      <c r="AE106">
        <v>2</v>
      </c>
      <c r="AF106">
        <v>25</v>
      </c>
      <c r="AH106">
        <v>3</v>
      </c>
      <c r="AI106">
        <v>4</v>
      </c>
      <c r="AJ106">
        <v>100</v>
      </c>
      <c r="AK106">
        <v>100</v>
      </c>
      <c r="AL106">
        <v>10</v>
      </c>
      <c r="AM106">
        <v>7</v>
      </c>
      <c r="AP106">
        <v>40</v>
      </c>
      <c r="AW106">
        <v>50</v>
      </c>
    </row>
    <row r="107" spans="1:49">
      <c r="A107" s="17" t="s">
        <v>174</v>
      </c>
      <c r="C107">
        <v>2060</v>
      </c>
      <c r="D107">
        <v>348</v>
      </c>
      <c r="E107">
        <v>340</v>
      </c>
      <c r="F107">
        <v>696</v>
      </c>
      <c r="I107">
        <v>1</v>
      </c>
      <c r="J107">
        <v>2</v>
      </c>
      <c r="K107">
        <v>8</v>
      </c>
      <c r="L107">
        <v>2</v>
      </c>
      <c r="M107">
        <v>32</v>
      </c>
      <c r="N107">
        <v>24</v>
      </c>
      <c r="O107">
        <v>500</v>
      </c>
      <c r="P107">
        <v>1500</v>
      </c>
      <c r="R107">
        <v>300</v>
      </c>
      <c r="S107">
        <v>5</v>
      </c>
      <c r="U107">
        <v>2000</v>
      </c>
      <c r="V107">
        <v>1</v>
      </c>
      <c r="W107">
        <v>210</v>
      </c>
      <c r="X107">
        <v>1320</v>
      </c>
      <c r="Y107">
        <v>300</v>
      </c>
      <c r="Z107">
        <v>720</v>
      </c>
      <c r="AB107">
        <v>120</v>
      </c>
      <c r="AC107">
        <v>8</v>
      </c>
      <c r="AD107">
        <v>1</v>
      </c>
      <c r="AE107">
        <v>3</v>
      </c>
      <c r="AH107">
        <v>4</v>
      </c>
      <c r="AI107">
        <v>11</v>
      </c>
      <c r="AJ107">
        <v>300</v>
      </c>
      <c r="AK107">
        <v>400</v>
      </c>
      <c r="AL107">
        <v>14</v>
      </c>
      <c r="AM107">
        <v>28</v>
      </c>
      <c r="AO107">
        <v>25</v>
      </c>
      <c r="AP107">
        <v>390</v>
      </c>
    </row>
    <row r="108" spans="1:49">
      <c r="A108" s="17" t="s">
        <v>397</v>
      </c>
      <c r="C108">
        <v>708</v>
      </c>
      <c r="D108">
        <v>40</v>
      </c>
      <c r="E108">
        <v>50</v>
      </c>
      <c r="F108">
        <v>72</v>
      </c>
      <c r="K108">
        <v>10</v>
      </c>
      <c r="L108">
        <v>1</v>
      </c>
      <c r="N108">
        <v>12</v>
      </c>
      <c r="S108">
        <v>1</v>
      </c>
      <c r="X108">
        <v>720</v>
      </c>
      <c r="Y108">
        <v>30</v>
      </c>
      <c r="Z108">
        <v>360</v>
      </c>
      <c r="AD108">
        <v>1</v>
      </c>
      <c r="AF108">
        <v>25</v>
      </c>
      <c r="AH108">
        <v>1</v>
      </c>
      <c r="AK108">
        <v>100</v>
      </c>
      <c r="AM108">
        <v>9</v>
      </c>
      <c r="AN108">
        <v>4</v>
      </c>
    </row>
    <row r="109" spans="1:49">
      <c r="A109" s="17" t="s">
        <v>308</v>
      </c>
      <c r="C109">
        <v>848</v>
      </c>
      <c r="D109">
        <v>172</v>
      </c>
      <c r="E109">
        <v>210</v>
      </c>
      <c r="F109">
        <v>288</v>
      </c>
      <c r="K109">
        <v>10</v>
      </c>
      <c r="O109">
        <v>1000</v>
      </c>
      <c r="P109">
        <v>600</v>
      </c>
      <c r="Q109">
        <v>300</v>
      </c>
      <c r="U109">
        <v>1000</v>
      </c>
      <c r="X109">
        <v>420</v>
      </c>
      <c r="Y109">
        <v>90</v>
      </c>
      <c r="Z109">
        <v>270</v>
      </c>
      <c r="AC109">
        <v>4</v>
      </c>
      <c r="AH109">
        <v>5</v>
      </c>
      <c r="AI109">
        <v>5</v>
      </c>
      <c r="AM109">
        <v>10</v>
      </c>
      <c r="AP109">
        <v>200</v>
      </c>
      <c r="AV109">
        <v>100</v>
      </c>
    </row>
    <row r="110" spans="1:49">
      <c r="A110" s="17" t="s">
        <v>253</v>
      </c>
      <c r="C110">
        <v>1656</v>
      </c>
      <c r="D110">
        <v>324</v>
      </c>
      <c r="E110">
        <v>180</v>
      </c>
      <c r="F110">
        <v>120</v>
      </c>
      <c r="J110">
        <v>3</v>
      </c>
      <c r="K110">
        <v>18</v>
      </c>
      <c r="M110">
        <v>8</v>
      </c>
      <c r="N110">
        <v>24</v>
      </c>
      <c r="O110">
        <v>500</v>
      </c>
      <c r="P110">
        <v>450</v>
      </c>
      <c r="Q110">
        <v>100</v>
      </c>
      <c r="S110">
        <v>1</v>
      </c>
      <c r="U110">
        <v>2000</v>
      </c>
      <c r="X110">
        <v>1200</v>
      </c>
      <c r="Y110">
        <v>150</v>
      </c>
      <c r="Z110">
        <v>630</v>
      </c>
      <c r="AB110">
        <v>96</v>
      </c>
      <c r="AD110">
        <v>1</v>
      </c>
      <c r="AE110">
        <v>2</v>
      </c>
      <c r="AF110">
        <v>25</v>
      </c>
      <c r="AG110">
        <v>2</v>
      </c>
      <c r="AH110">
        <v>2</v>
      </c>
      <c r="AI110">
        <v>2</v>
      </c>
      <c r="AK110">
        <v>400</v>
      </c>
      <c r="AL110">
        <v>24</v>
      </c>
      <c r="AM110">
        <v>14</v>
      </c>
      <c r="AO110">
        <v>2</v>
      </c>
      <c r="AP110">
        <v>300</v>
      </c>
      <c r="AS110">
        <v>1</v>
      </c>
      <c r="AT110">
        <v>1</v>
      </c>
    </row>
    <row r="111" spans="1:49">
      <c r="A111" s="17" t="s">
        <v>309</v>
      </c>
      <c r="C111">
        <v>1180</v>
      </c>
      <c r="D111">
        <v>324</v>
      </c>
      <c r="E111">
        <v>80</v>
      </c>
      <c r="F111">
        <v>96</v>
      </c>
      <c r="K111">
        <v>5</v>
      </c>
      <c r="M111">
        <v>24</v>
      </c>
      <c r="P111">
        <v>600</v>
      </c>
      <c r="U111">
        <v>2000</v>
      </c>
      <c r="X111">
        <v>900</v>
      </c>
      <c r="Y111">
        <v>60</v>
      </c>
      <c r="Z111">
        <v>540</v>
      </c>
      <c r="AB111">
        <v>120</v>
      </c>
      <c r="AC111">
        <v>8</v>
      </c>
      <c r="AE111">
        <v>2</v>
      </c>
      <c r="AF111">
        <v>25</v>
      </c>
      <c r="AI111">
        <v>10</v>
      </c>
      <c r="AJ111">
        <v>200</v>
      </c>
      <c r="AK111">
        <v>500</v>
      </c>
      <c r="AL111">
        <v>24</v>
      </c>
      <c r="AM111">
        <v>12</v>
      </c>
      <c r="AP111">
        <v>300</v>
      </c>
    </row>
    <row r="112" spans="1:49">
      <c r="A112" s="17" t="s">
        <v>310</v>
      </c>
      <c r="C112">
        <v>6652</v>
      </c>
      <c r="D112">
        <v>504</v>
      </c>
      <c r="E112">
        <v>590</v>
      </c>
      <c r="J112">
        <v>10</v>
      </c>
      <c r="K112">
        <v>61</v>
      </c>
      <c r="M112">
        <v>36</v>
      </c>
      <c r="N112">
        <v>12</v>
      </c>
      <c r="O112">
        <v>5000</v>
      </c>
      <c r="P112">
        <v>1050</v>
      </c>
      <c r="S112">
        <v>2</v>
      </c>
      <c r="U112">
        <v>7000</v>
      </c>
      <c r="V112">
        <v>2</v>
      </c>
      <c r="W112">
        <v>300</v>
      </c>
      <c r="X112">
        <v>4020</v>
      </c>
      <c r="Y112">
        <v>660</v>
      </c>
      <c r="Z112">
        <v>1350</v>
      </c>
      <c r="AB112">
        <v>108</v>
      </c>
      <c r="AC112">
        <v>28</v>
      </c>
      <c r="AE112">
        <v>6</v>
      </c>
      <c r="AF112">
        <v>25</v>
      </c>
      <c r="AH112">
        <v>5</v>
      </c>
      <c r="AI112">
        <v>31</v>
      </c>
      <c r="AJ112">
        <v>400</v>
      </c>
      <c r="AK112">
        <v>300</v>
      </c>
      <c r="AL112">
        <v>36</v>
      </c>
      <c r="AM112">
        <v>22</v>
      </c>
      <c r="AO112">
        <v>5</v>
      </c>
      <c r="AP112">
        <v>580</v>
      </c>
    </row>
    <row r="113" spans="1:49">
      <c r="A113" s="17" t="s">
        <v>311</v>
      </c>
      <c r="B113">
        <v>20</v>
      </c>
      <c r="C113">
        <v>3300</v>
      </c>
      <c r="D113">
        <v>588</v>
      </c>
      <c r="E113">
        <v>420</v>
      </c>
      <c r="F113">
        <v>480</v>
      </c>
      <c r="J113">
        <v>16</v>
      </c>
      <c r="K113">
        <v>40</v>
      </c>
      <c r="L113">
        <v>1</v>
      </c>
      <c r="M113">
        <v>60</v>
      </c>
      <c r="N113">
        <v>48</v>
      </c>
      <c r="P113">
        <v>2100</v>
      </c>
      <c r="Q113">
        <v>400</v>
      </c>
      <c r="S113">
        <v>3</v>
      </c>
      <c r="U113">
        <v>5000</v>
      </c>
      <c r="V113">
        <v>2</v>
      </c>
      <c r="W113">
        <v>90</v>
      </c>
      <c r="X113">
        <v>2280</v>
      </c>
      <c r="Y113">
        <v>330</v>
      </c>
      <c r="Z113">
        <v>900</v>
      </c>
      <c r="AB113">
        <v>120</v>
      </c>
      <c r="AC113">
        <v>20</v>
      </c>
      <c r="AD113">
        <v>2</v>
      </c>
      <c r="AE113">
        <v>1</v>
      </c>
      <c r="AG113">
        <v>2</v>
      </c>
      <c r="AI113">
        <v>20</v>
      </c>
      <c r="AK113">
        <v>600</v>
      </c>
      <c r="AL113">
        <v>14</v>
      </c>
      <c r="AM113">
        <v>40</v>
      </c>
      <c r="AO113">
        <v>5</v>
      </c>
      <c r="AP113">
        <v>600</v>
      </c>
      <c r="AS113">
        <v>4</v>
      </c>
    </row>
    <row r="114" spans="1:49">
      <c r="A114" s="17" t="s">
        <v>312</v>
      </c>
      <c r="C114">
        <v>3584</v>
      </c>
      <c r="D114">
        <v>948</v>
      </c>
      <c r="E114">
        <v>170</v>
      </c>
      <c r="F114">
        <v>264</v>
      </c>
      <c r="J114">
        <v>4</v>
      </c>
      <c r="K114">
        <v>12</v>
      </c>
      <c r="M114">
        <v>26</v>
      </c>
      <c r="N114">
        <v>12</v>
      </c>
      <c r="O114">
        <v>1000</v>
      </c>
      <c r="P114">
        <v>2850</v>
      </c>
      <c r="Q114">
        <v>200</v>
      </c>
      <c r="R114">
        <v>200</v>
      </c>
      <c r="S114">
        <v>2</v>
      </c>
      <c r="U114">
        <v>3000</v>
      </c>
      <c r="V114">
        <v>1</v>
      </c>
      <c r="X114">
        <v>2880</v>
      </c>
      <c r="Y114">
        <v>150</v>
      </c>
      <c r="Z114">
        <v>720</v>
      </c>
      <c r="AB114">
        <v>144</v>
      </c>
      <c r="AC114">
        <v>12</v>
      </c>
      <c r="AD114">
        <v>1</v>
      </c>
      <c r="AE114">
        <v>0.5</v>
      </c>
      <c r="AF114">
        <v>25</v>
      </c>
      <c r="AH114">
        <v>4</v>
      </c>
      <c r="AI114">
        <v>24</v>
      </c>
      <c r="AK114">
        <v>900</v>
      </c>
      <c r="AL114">
        <v>30</v>
      </c>
      <c r="AM114">
        <v>32</v>
      </c>
      <c r="AO114">
        <v>4</v>
      </c>
      <c r="AP114">
        <v>970</v>
      </c>
    </row>
    <row r="115" spans="1:49">
      <c r="A115" s="17" t="s">
        <v>398</v>
      </c>
      <c r="C115">
        <v>560</v>
      </c>
      <c r="D115">
        <v>96</v>
      </c>
      <c r="E115">
        <v>40</v>
      </c>
      <c r="F115">
        <v>96</v>
      </c>
      <c r="J115">
        <v>1</v>
      </c>
      <c r="K115">
        <v>3</v>
      </c>
      <c r="O115">
        <v>500</v>
      </c>
      <c r="P115">
        <v>150</v>
      </c>
      <c r="U115">
        <v>1000</v>
      </c>
      <c r="X115">
        <v>300</v>
      </c>
      <c r="Z115">
        <v>270</v>
      </c>
      <c r="AC115">
        <v>4</v>
      </c>
      <c r="AI115">
        <v>2</v>
      </c>
      <c r="AK115">
        <v>100</v>
      </c>
      <c r="AM115">
        <v>5</v>
      </c>
      <c r="AP115">
        <v>80</v>
      </c>
    </row>
    <row r="116" spans="1:49">
      <c r="A116" s="17" t="s">
        <v>399</v>
      </c>
      <c r="C116">
        <v>828</v>
      </c>
      <c r="D116">
        <v>272</v>
      </c>
      <c r="E116">
        <v>50</v>
      </c>
      <c r="F116">
        <v>144</v>
      </c>
      <c r="K116">
        <v>4</v>
      </c>
      <c r="M116">
        <v>8</v>
      </c>
      <c r="N116">
        <v>24</v>
      </c>
      <c r="P116">
        <v>900</v>
      </c>
      <c r="U116">
        <v>1000</v>
      </c>
      <c r="V116">
        <v>1</v>
      </c>
      <c r="W116">
        <v>30</v>
      </c>
      <c r="X116">
        <v>780</v>
      </c>
      <c r="Y116">
        <v>30</v>
      </c>
      <c r="Z116">
        <v>90</v>
      </c>
      <c r="AB116">
        <v>60</v>
      </c>
      <c r="AC116">
        <v>4</v>
      </c>
      <c r="AD116">
        <v>1</v>
      </c>
      <c r="AE116">
        <v>1</v>
      </c>
      <c r="AF116">
        <v>25</v>
      </c>
      <c r="AH116">
        <v>1</v>
      </c>
      <c r="AI116">
        <v>6</v>
      </c>
      <c r="AK116">
        <v>200</v>
      </c>
      <c r="AL116">
        <v>10</v>
      </c>
      <c r="AM116">
        <v>6</v>
      </c>
      <c r="AN116">
        <v>1</v>
      </c>
      <c r="AP116">
        <v>340</v>
      </c>
      <c r="AT116">
        <v>1</v>
      </c>
      <c r="AV116">
        <v>100</v>
      </c>
    </row>
    <row r="117" spans="1:49">
      <c r="A117" s="17" t="s">
        <v>313</v>
      </c>
      <c r="C117">
        <v>1500</v>
      </c>
      <c r="D117">
        <v>380</v>
      </c>
      <c r="E117">
        <v>140</v>
      </c>
      <c r="F117">
        <v>432</v>
      </c>
      <c r="K117">
        <v>3</v>
      </c>
      <c r="L117">
        <v>1</v>
      </c>
      <c r="M117">
        <v>10</v>
      </c>
      <c r="N117">
        <v>12</v>
      </c>
      <c r="O117">
        <v>500</v>
      </c>
      <c r="P117">
        <v>900</v>
      </c>
      <c r="Q117">
        <v>100</v>
      </c>
      <c r="R117">
        <v>200</v>
      </c>
      <c r="S117">
        <v>3</v>
      </c>
      <c r="U117">
        <v>3000</v>
      </c>
      <c r="W117">
        <v>30</v>
      </c>
      <c r="X117">
        <v>1080</v>
      </c>
      <c r="Y117">
        <v>60</v>
      </c>
      <c r="Z117">
        <v>540</v>
      </c>
      <c r="AB117">
        <v>120</v>
      </c>
      <c r="AC117">
        <v>12</v>
      </c>
      <c r="AD117">
        <v>1</v>
      </c>
      <c r="AF117">
        <v>25</v>
      </c>
      <c r="AH117">
        <v>1</v>
      </c>
      <c r="AI117">
        <v>6</v>
      </c>
      <c r="AK117">
        <v>400</v>
      </c>
      <c r="AL117">
        <v>6</v>
      </c>
      <c r="AM117">
        <v>8</v>
      </c>
      <c r="AN117">
        <v>1</v>
      </c>
      <c r="AP117">
        <v>380</v>
      </c>
    </row>
    <row r="118" spans="1:49">
      <c r="A118" s="17" t="s">
        <v>400</v>
      </c>
      <c r="C118">
        <v>1080</v>
      </c>
      <c r="D118">
        <v>140</v>
      </c>
      <c r="E118">
        <v>130</v>
      </c>
      <c r="F118">
        <v>96</v>
      </c>
      <c r="H118">
        <v>1</v>
      </c>
      <c r="I118">
        <v>1</v>
      </c>
      <c r="K118">
        <v>5</v>
      </c>
      <c r="L118">
        <v>1</v>
      </c>
      <c r="M118">
        <v>24</v>
      </c>
      <c r="N118">
        <v>12</v>
      </c>
      <c r="O118">
        <v>500</v>
      </c>
      <c r="P118">
        <v>900</v>
      </c>
      <c r="Q118">
        <v>200</v>
      </c>
      <c r="R118">
        <v>100</v>
      </c>
      <c r="S118">
        <v>0.5</v>
      </c>
      <c r="U118">
        <v>2000</v>
      </c>
      <c r="V118">
        <v>1</v>
      </c>
      <c r="X118">
        <v>780</v>
      </c>
      <c r="Y118">
        <v>30</v>
      </c>
      <c r="Z118">
        <v>360</v>
      </c>
      <c r="AB118">
        <v>24</v>
      </c>
      <c r="AC118">
        <v>8</v>
      </c>
      <c r="AD118">
        <v>1</v>
      </c>
      <c r="AG118">
        <v>6</v>
      </c>
      <c r="AI118">
        <v>8</v>
      </c>
      <c r="AK118">
        <v>200</v>
      </c>
      <c r="AL118">
        <v>6</v>
      </c>
      <c r="AM118">
        <v>5</v>
      </c>
      <c r="AO118">
        <v>2</v>
      </c>
      <c r="AP118">
        <v>160</v>
      </c>
      <c r="AS118">
        <v>6</v>
      </c>
    </row>
    <row r="119" spans="1:49">
      <c r="A119" s="17" t="s">
        <v>314</v>
      </c>
      <c r="M119">
        <v>24</v>
      </c>
      <c r="N119">
        <v>24</v>
      </c>
      <c r="AL119">
        <v>24</v>
      </c>
    </row>
    <row r="120" spans="1:49">
      <c r="A120" s="17" t="s">
        <v>315</v>
      </c>
      <c r="B120">
        <v>60</v>
      </c>
      <c r="C120">
        <v>3308</v>
      </c>
      <c r="D120">
        <v>272</v>
      </c>
      <c r="E120">
        <v>170</v>
      </c>
      <c r="F120">
        <v>216</v>
      </c>
      <c r="K120">
        <v>20</v>
      </c>
      <c r="P120">
        <v>2100</v>
      </c>
      <c r="Q120">
        <v>200</v>
      </c>
      <c r="S120">
        <v>10</v>
      </c>
      <c r="U120">
        <v>4000</v>
      </c>
      <c r="V120">
        <v>1</v>
      </c>
      <c r="X120">
        <v>1860</v>
      </c>
      <c r="Y120">
        <v>30</v>
      </c>
      <c r="Z120">
        <v>1080</v>
      </c>
      <c r="AB120">
        <v>120</v>
      </c>
      <c r="AC120">
        <v>20</v>
      </c>
      <c r="AD120">
        <v>14</v>
      </c>
      <c r="AH120">
        <v>5</v>
      </c>
      <c r="AI120">
        <v>30</v>
      </c>
      <c r="AK120">
        <v>300</v>
      </c>
      <c r="AM120">
        <v>30</v>
      </c>
      <c r="AN120">
        <v>3</v>
      </c>
      <c r="AP120">
        <v>270</v>
      </c>
    </row>
    <row r="121" spans="1:49">
      <c r="A121" s="17" t="s">
        <v>105</v>
      </c>
      <c r="C121">
        <v>2216</v>
      </c>
      <c r="D121">
        <v>232</v>
      </c>
      <c r="E121">
        <v>210</v>
      </c>
      <c r="F121">
        <v>120</v>
      </c>
      <c r="H121">
        <v>1</v>
      </c>
      <c r="J121">
        <v>6</v>
      </c>
      <c r="K121">
        <v>11</v>
      </c>
      <c r="L121">
        <v>1</v>
      </c>
      <c r="M121">
        <v>34</v>
      </c>
      <c r="N121">
        <v>24</v>
      </c>
      <c r="O121">
        <v>500</v>
      </c>
      <c r="P121">
        <v>1650</v>
      </c>
      <c r="Q121">
        <v>100</v>
      </c>
      <c r="R121">
        <v>100</v>
      </c>
      <c r="S121">
        <v>0.5</v>
      </c>
      <c r="U121">
        <v>2000</v>
      </c>
      <c r="V121">
        <v>1</v>
      </c>
      <c r="X121">
        <v>1680</v>
      </c>
      <c r="Y121">
        <v>300</v>
      </c>
      <c r="Z121">
        <v>630</v>
      </c>
      <c r="AB121">
        <v>132</v>
      </c>
      <c r="AC121">
        <v>8</v>
      </c>
      <c r="AD121">
        <v>1</v>
      </c>
      <c r="AE121">
        <v>0.5</v>
      </c>
      <c r="AH121">
        <v>1</v>
      </c>
      <c r="AI121">
        <v>10</v>
      </c>
      <c r="AK121">
        <v>300</v>
      </c>
      <c r="AL121">
        <v>14</v>
      </c>
      <c r="AM121">
        <v>10</v>
      </c>
      <c r="AN121">
        <v>1</v>
      </c>
      <c r="AP121">
        <v>1460</v>
      </c>
      <c r="AS121">
        <v>3</v>
      </c>
    </row>
    <row r="122" spans="1:49">
      <c r="A122" s="17" t="s">
        <v>401</v>
      </c>
      <c r="B122">
        <v>20</v>
      </c>
      <c r="C122">
        <v>1176</v>
      </c>
      <c r="D122">
        <v>240</v>
      </c>
      <c r="E122">
        <v>60</v>
      </c>
      <c r="F122">
        <v>168</v>
      </c>
      <c r="I122">
        <v>1</v>
      </c>
      <c r="K122">
        <v>15</v>
      </c>
      <c r="M122">
        <v>4</v>
      </c>
      <c r="P122">
        <v>1050</v>
      </c>
      <c r="Q122">
        <v>100</v>
      </c>
      <c r="R122">
        <v>100</v>
      </c>
      <c r="S122">
        <v>1.5</v>
      </c>
      <c r="T122">
        <v>3</v>
      </c>
      <c r="U122">
        <v>2000</v>
      </c>
      <c r="X122">
        <v>780</v>
      </c>
      <c r="Y122">
        <v>60</v>
      </c>
      <c r="Z122">
        <v>180</v>
      </c>
      <c r="AC122">
        <v>8</v>
      </c>
      <c r="AD122">
        <v>1</v>
      </c>
      <c r="AE122">
        <v>0.5</v>
      </c>
      <c r="AF122">
        <v>25</v>
      </c>
      <c r="AG122">
        <v>2</v>
      </c>
      <c r="AH122">
        <v>2</v>
      </c>
      <c r="AI122">
        <v>7</v>
      </c>
      <c r="AK122">
        <v>300</v>
      </c>
      <c r="AM122">
        <v>7</v>
      </c>
      <c r="AO122">
        <v>2</v>
      </c>
      <c r="AP122">
        <v>170</v>
      </c>
      <c r="AS122">
        <v>5</v>
      </c>
      <c r="AW122">
        <v>50</v>
      </c>
    </row>
    <row r="123" spans="1:49">
      <c r="A123" s="17" t="s">
        <v>402</v>
      </c>
      <c r="C123">
        <v>596</v>
      </c>
      <c r="D123">
        <v>200</v>
      </c>
      <c r="E123">
        <v>140</v>
      </c>
      <c r="F123">
        <v>168</v>
      </c>
      <c r="K123">
        <v>10</v>
      </c>
      <c r="M123">
        <v>22</v>
      </c>
      <c r="O123">
        <v>500</v>
      </c>
      <c r="P123">
        <v>450</v>
      </c>
      <c r="R123">
        <v>100</v>
      </c>
      <c r="S123">
        <v>0.5</v>
      </c>
      <c r="U123">
        <v>1000</v>
      </c>
      <c r="W123">
        <v>30</v>
      </c>
      <c r="X123">
        <v>300</v>
      </c>
      <c r="Y123">
        <v>30</v>
      </c>
      <c r="Z123">
        <v>180</v>
      </c>
      <c r="AB123">
        <v>24</v>
      </c>
      <c r="AC123">
        <v>4</v>
      </c>
      <c r="AD123">
        <v>1</v>
      </c>
      <c r="AH123">
        <v>10</v>
      </c>
      <c r="AK123">
        <v>100</v>
      </c>
      <c r="AL123">
        <v>4</v>
      </c>
      <c r="AM123">
        <v>3</v>
      </c>
      <c r="AN123">
        <v>0.5</v>
      </c>
      <c r="AP123">
        <v>150</v>
      </c>
      <c r="AS123">
        <v>6</v>
      </c>
    </row>
    <row r="124" spans="1:49">
      <c r="A124" s="17" t="s">
        <v>403</v>
      </c>
      <c r="B124">
        <v>10</v>
      </c>
      <c r="C124">
        <v>1028</v>
      </c>
      <c r="D124">
        <v>220</v>
      </c>
      <c r="E124">
        <v>180</v>
      </c>
      <c r="F124">
        <v>168</v>
      </c>
      <c r="H124">
        <v>1</v>
      </c>
      <c r="K124">
        <v>10</v>
      </c>
      <c r="M124">
        <v>24</v>
      </c>
      <c r="N124">
        <v>12</v>
      </c>
      <c r="O124">
        <v>500</v>
      </c>
      <c r="P124">
        <v>450</v>
      </c>
      <c r="Q124">
        <v>100</v>
      </c>
      <c r="R124">
        <v>100</v>
      </c>
      <c r="S124">
        <v>1.5</v>
      </c>
      <c r="U124">
        <v>1000</v>
      </c>
      <c r="V124">
        <v>1</v>
      </c>
      <c r="X124">
        <v>660</v>
      </c>
      <c r="Y124">
        <v>30</v>
      </c>
      <c r="Z124">
        <v>450</v>
      </c>
      <c r="AC124">
        <v>4</v>
      </c>
      <c r="AD124">
        <v>1</v>
      </c>
      <c r="AF124">
        <v>25</v>
      </c>
      <c r="AH124">
        <v>2</v>
      </c>
      <c r="AI124">
        <v>6</v>
      </c>
      <c r="AJ124">
        <v>100</v>
      </c>
      <c r="AK124">
        <v>200</v>
      </c>
      <c r="AL124">
        <v>8</v>
      </c>
      <c r="AM124">
        <v>6</v>
      </c>
      <c r="AN124">
        <v>1</v>
      </c>
      <c r="AO124">
        <v>2</v>
      </c>
      <c r="AP124">
        <v>240</v>
      </c>
    </row>
    <row r="125" spans="1:49">
      <c r="A125" s="17" t="s">
        <v>404</v>
      </c>
      <c r="C125">
        <v>1140</v>
      </c>
      <c r="D125">
        <v>124</v>
      </c>
      <c r="E125">
        <v>140</v>
      </c>
      <c r="K125">
        <v>22</v>
      </c>
      <c r="M125">
        <v>20</v>
      </c>
      <c r="N125">
        <v>24</v>
      </c>
      <c r="P125">
        <v>750</v>
      </c>
      <c r="Q125">
        <v>100</v>
      </c>
      <c r="U125">
        <v>1000</v>
      </c>
      <c r="V125">
        <v>1</v>
      </c>
      <c r="X125">
        <v>840</v>
      </c>
      <c r="Z125">
        <v>270</v>
      </c>
      <c r="AB125">
        <v>48</v>
      </c>
      <c r="AC125">
        <v>5</v>
      </c>
      <c r="AH125">
        <v>2</v>
      </c>
      <c r="AI125">
        <v>6</v>
      </c>
      <c r="AK125">
        <v>100</v>
      </c>
      <c r="AL125">
        <v>6</v>
      </c>
      <c r="AM125">
        <v>9</v>
      </c>
      <c r="AP125">
        <v>110</v>
      </c>
    </row>
    <row r="126" spans="1:49">
      <c r="A126" s="17" t="s">
        <v>200</v>
      </c>
      <c r="B126">
        <v>10</v>
      </c>
      <c r="C126">
        <v>1012</v>
      </c>
      <c r="D126">
        <v>72</v>
      </c>
      <c r="E126">
        <v>120</v>
      </c>
      <c r="F126">
        <v>120</v>
      </c>
      <c r="J126">
        <v>2</v>
      </c>
      <c r="K126">
        <v>7</v>
      </c>
      <c r="L126">
        <v>1</v>
      </c>
      <c r="M126">
        <v>10</v>
      </c>
      <c r="N126">
        <v>24</v>
      </c>
      <c r="O126">
        <v>500</v>
      </c>
      <c r="P126">
        <v>750</v>
      </c>
      <c r="Q126">
        <v>100</v>
      </c>
      <c r="U126">
        <v>2000</v>
      </c>
      <c r="V126">
        <v>1</v>
      </c>
      <c r="X126">
        <v>780</v>
      </c>
      <c r="Y126">
        <v>90</v>
      </c>
      <c r="Z126">
        <v>270</v>
      </c>
      <c r="AB126">
        <v>36</v>
      </c>
      <c r="AC126">
        <v>8</v>
      </c>
      <c r="AG126">
        <v>2</v>
      </c>
      <c r="AH126">
        <v>1</v>
      </c>
      <c r="AI126">
        <v>6</v>
      </c>
      <c r="AK126">
        <v>100</v>
      </c>
      <c r="AL126">
        <v>8</v>
      </c>
      <c r="AM126">
        <v>7</v>
      </c>
      <c r="AP126">
        <v>70</v>
      </c>
      <c r="AV126">
        <v>100</v>
      </c>
    </row>
    <row r="127" spans="1:49">
      <c r="A127" s="17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7"/>
  <sheetViews>
    <sheetView zoomScaleNormal="100" workbookViewId="0">
      <pane xSplit="5" ySplit="3" topLeftCell="F4" activePane="bottomRight" state="frozen"/>
      <selection activeCell="B1" sqref="B1"/>
      <selection pane="topRight" activeCell="D1" sqref="D1"/>
      <selection pane="bottomLeft" activeCell="B4" sqref="B4"/>
      <selection pane="bottomRight" activeCell="F5" sqref="F5"/>
    </sheetView>
  </sheetViews>
  <sheetFormatPr defaultRowHeight="14.4"/>
  <cols>
    <col min="1" max="1" width="8.88671875" hidden="1" customWidth="1"/>
    <col min="2" max="2" width="0" hidden="1" customWidth="1"/>
    <col min="5" max="5" width="50.33203125" bestFit="1" customWidth="1"/>
    <col min="6" max="6" width="10.88671875" style="2" customWidth="1"/>
    <col min="7" max="9" width="9" style="2" customWidth="1"/>
    <col min="10" max="10" width="12.44140625" style="2" customWidth="1"/>
    <col min="11" max="11" width="12.109375" style="2" customWidth="1"/>
    <col min="12" max="12" width="11.6640625" style="2" bestFit="1" customWidth="1"/>
    <col min="13" max="14" width="9" style="2" customWidth="1"/>
    <col min="15" max="15" width="9" style="24" customWidth="1"/>
    <col min="16" max="26" width="9" style="2" customWidth="1"/>
    <col min="27" max="34" width="16" style="2" customWidth="1"/>
    <col min="35" max="35" width="8.5546875" style="2" customWidth="1"/>
    <col min="36" max="36" width="13.33203125" style="2" customWidth="1"/>
    <col min="37" max="37" width="9.5546875" style="2" customWidth="1"/>
    <col min="38" max="41" width="9" style="2" customWidth="1"/>
  </cols>
  <sheetData>
    <row r="1" spans="1:41" hidden="1">
      <c r="E1" t="b">
        <f>ISTEXT(G1)</f>
        <v>0</v>
      </c>
      <c r="F1" s="2">
        <v>1001</v>
      </c>
      <c r="G1" s="2">
        <v>1004</v>
      </c>
      <c r="H1" s="2">
        <v>1003</v>
      </c>
      <c r="I1" s="2">
        <v>1002</v>
      </c>
      <c r="J1" s="2">
        <v>1201</v>
      </c>
      <c r="K1" s="2">
        <v>1200</v>
      </c>
      <c r="L1" s="2">
        <v>1205</v>
      </c>
      <c r="M1" s="2">
        <v>1234</v>
      </c>
      <c r="N1" s="2">
        <v>1204</v>
      </c>
      <c r="O1" s="3">
        <v>1208</v>
      </c>
      <c r="P1" s="2">
        <v>1403</v>
      </c>
      <c r="Q1" s="2">
        <v>1405</v>
      </c>
      <c r="R1" s="2">
        <v>1401</v>
      </c>
      <c r="S1" s="2">
        <v>1209</v>
      </c>
      <c r="T1" s="2">
        <v>1421</v>
      </c>
      <c r="U1" s="2">
        <v>1402</v>
      </c>
      <c r="V1" s="2">
        <v>1102</v>
      </c>
      <c r="W1" s="2">
        <v>1101</v>
      </c>
      <c r="X1" s="2">
        <v>1109</v>
      </c>
      <c r="Y1" s="2">
        <v>1103</v>
      </c>
      <c r="Z1" s="2">
        <v>1104</v>
      </c>
      <c r="AA1" s="2">
        <v>2008</v>
      </c>
      <c r="AB1" s="2">
        <v>2017</v>
      </c>
      <c r="AC1" s="2">
        <v>2021</v>
      </c>
      <c r="AD1" s="2">
        <v>2064</v>
      </c>
      <c r="AE1" s="2">
        <v>2019</v>
      </c>
      <c r="AF1" s="2">
        <v>2027</v>
      </c>
      <c r="AG1" s="2">
        <v>2068</v>
      </c>
      <c r="AH1" s="2">
        <v>2012</v>
      </c>
      <c r="AI1" s="2">
        <v>2066</v>
      </c>
      <c r="AJ1" s="2">
        <v>2067</v>
      </c>
      <c r="AK1" s="2">
        <v>1203</v>
      </c>
      <c r="AL1" s="2">
        <v>1214</v>
      </c>
    </row>
    <row r="2" spans="1:41">
      <c r="E2" t="s">
        <v>316</v>
      </c>
      <c r="F2" s="2">
        <v>3</v>
      </c>
      <c r="G2" s="2">
        <v>4</v>
      </c>
      <c r="H2" s="2">
        <v>5</v>
      </c>
      <c r="I2" s="2">
        <v>6</v>
      </c>
      <c r="J2" s="2">
        <v>26</v>
      </c>
      <c r="K2" s="2">
        <v>24</v>
      </c>
      <c r="L2" s="2">
        <v>42</v>
      </c>
      <c r="M2" s="2">
        <v>30</v>
      </c>
      <c r="N2" s="2">
        <v>12</v>
      </c>
      <c r="O2" s="3">
        <v>19</v>
      </c>
      <c r="P2" s="2">
        <v>32</v>
      </c>
      <c r="Q2" s="2">
        <v>34</v>
      </c>
      <c r="R2" s="2">
        <v>11</v>
      </c>
      <c r="S2" s="2">
        <v>28</v>
      </c>
      <c r="T2" s="2">
        <v>10</v>
      </c>
      <c r="U2" s="2">
        <v>14</v>
      </c>
      <c r="V2" s="2">
        <v>38</v>
      </c>
      <c r="W2" s="2">
        <v>39</v>
      </c>
      <c r="X2" s="2">
        <v>40</v>
      </c>
      <c r="Y2" s="2">
        <v>41</v>
      </c>
      <c r="Z2" s="2">
        <v>13</v>
      </c>
      <c r="AA2" s="2">
        <v>15</v>
      </c>
      <c r="AB2" s="2">
        <v>16</v>
      </c>
      <c r="AC2" s="2">
        <v>17</v>
      </c>
      <c r="AD2" s="2">
        <v>18</v>
      </c>
      <c r="AE2" s="2">
        <v>36</v>
      </c>
      <c r="AF2" s="2">
        <v>37</v>
      </c>
      <c r="AG2" s="2">
        <v>21</v>
      </c>
      <c r="AH2" s="2">
        <v>22</v>
      </c>
      <c r="AI2" s="2">
        <v>29</v>
      </c>
      <c r="AJ2" s="2">
        <v>35</v>
      </c>
      <c r="AK2" s="2">
        <v>25</v>
      </c>
      <c r="AL2" s="2">
        <v>23</v>
      </c>
      <c r="AM2" s="2">
        <v>31</v>
      </c>
      <c r="AN2" s="2">
        <v>8</v>
      </c>
      <c r="AO2" s="2">
        <v>27</v>
      </c>
    </row>
    <row r="3" spans="1:41" ht="72" customHeight="1">
      <c r="B3" s="1" t="s">
        <v>1</v>
      </c>
      <c r="C3" s="1" t="s">
        <v>94</v>
      </c>
      <c r="D3" s="1" t="s">
        <v>95</v>
      </c>
      <c r="E3" s="1" t="s">
        <v>9</v>
      </c>
      <c r="F3" s="18" t="s">
        <v>2</v>
      </c>
      <c r="G3" s="18" t="s">
        <v>3</v>
      </c>
      <c r="H3" s="18" t="s">
        <v>4</v>
      </c>
      <c r="I3" s="18" t="s">
        <v>5</v>
      </c>
      <c r="J3" s="18" t="s">
        <v>34</v>
      </c>
      <c r="K3" s="18" t="s">
        <v>330</v>
      </c>
      <c r="L3" s="18" t="s">
        <v>295</v>
      </c>
      <c r="M3" s="18" t="s">
        <v>35</v>
      </c>
      <c r="N3" s="18" t="s">
        <v>36</v>
      </c>
      <c r="O3" s="18" t="s">
        <v>37</v>
      </c>
      <c r="P3" s="18" t="s">
        <v>38</v>
      </c>
      <c r="Q3" s="18" t="s">
        <v>39</v>
      </c>
      <c r="R3" s="18" t="s">
        <v>331</v>
      </c>
      <c r="S3" s="18" t="s">
        <v>41</v>
      </c>
      <c r="T3" s="19" t="s">
        <v>345</v>
      </c>
      <c r="U3" s="18" t="s">
        <v>42</v>
      </c>
      <c r="V3" s="18" t="s">
        <v>43</v>
      </c>
      <c r="W3" s="18" t="s">
        <v>44</v>
      </c>
      <c r="X3" s="18" t="s">
        <v>45</v>
      </c>
      <c r="Y3" s="18" t="s">
        <v>46</v>
      </c>
      <c r="Z3" s="18" t="s">
        <v>47</v>
      </c>
      <c r="AA3" s="20" t="s">
        <v>48</v>
      </c>
      <c r="AB3" s="20" t="s">
        <v>49</v>
      </c>
      <c r="AC3" s="20" t="s">
        <v>50</v>
      </c>
      <c r="AD3" s="20" t="s">
        <v>51</v>
      </c>
      <c r="AE3" s="20" t="s">
        <v>52</v>
      </c>
      <c r="AF3" s="20" t="s">
        <v>53</v>
      </c>
      <c r="AG3" s="21" t="s">
        <v>289</v>
      </c>
      <c r="AH3" s="21" t="s">
        <v>290</v>
      </c>
      <c r="AI3" s="21" t="s">
        <v>324</v>
      </c>
      <c r="AJ3" s="21" t="s">
        <v>54</v>
      </c>
      <c r="AK3" s="21" t="s">
        <v>293</v>
      </c>
      <c r="AL3" s="21" t="s">
        <v>291</v>
      </c>
      <c r="AM3" s="21" t="s">
        <v>325</v>
      </c>
      <c r="AN3" s="21" t="s">
        <v>75</v>
      </c>
      <c r="AO3" s="22" t="s">
        <v>323</v>
      </c>
    </row>
    <row r="4" spans="1:41" ht="15.6">
      <c r="A4" t="s">
        <v>55</v>
      </c>
      <c r="C4" s="10" t="s">
        <v>97</v>
      </c>
      <c r="D4" s="9" t="s">
        <v>96</v>
      </c>
      <c r="E4" s="11" t="s">
        <v>98</v>
      </c>
      <c r="F4" s="23">
        <f>_xlfn.IFNA(VLOOKUP($D4,Dulieutho,F$2,FALSE),"")</f>
        <v>492</v>
      </c>
      <c r="G4" s="23">
        <f t="shared" ref="G4:P14" si="0">_xlfn.IFNA(VLOOKUP($D4,Dulieutho,G$2,FALSE),"")</f>
        <v>92</v>
      </c>
      <c r="H4" s="23">
        <f t="shared" si="0"/>
        <v>70</v>
      </c>
      <c r="I4" s="23">
        <f t="shared" si="0"/>
        <v>144</v>
      </c>
      <c r="J4" s="23">
        <f t="shared" si="0"/>
        <v>270</v>
      </c>
      <c r="K4" s="23">
        <f t="shared" si="0"/>
        <v>240</v>
      </c>
      <c r="L4" s="23">
        <f t="shared" si="0"/>
        <v>70</v>
      </c>
      <c r="M4" s="23">
        <f t="shared" si="0"/>
        <v>0</v>
      </c>
      <c r="N4" s="23">
        <f t="shared" si="0"/>
        <v>1</v>
      </c>
      <c r="O4" s="23">
        <f t="shared" si="0"/>
        <v>1</v>
      </c>
      <c r="P4" s="23">
        <f t="shared" si="0"/>
        <v>0</v>
      </c>
      <c r="Q4" s="23">
        <f t="shared" ref="Q4:Z14" si="1">_xlfn.IFNA(VLOOKUP($D4,Dulieutho,Q$2,FALSE),"")</f>
        <v>1</v>
      </c>
      <c r="R4" s="23">
        <f t="shared" si="1"/>
        <v>4</v>
      </c>
      <c r="S4" s="23">
        <f t="shared" si="1"/>
        <v>36</v>
      </c>
      <c r="T4" s="23">
        <f t="shared" si="1"/>
        <v>0</v>
      </c>
      <c r="U4" s="23">
        <f t="shared" si="1"/>
        <v>0</v>
      </c>
      <c r="V4" s="23">
        <f t="shared" si="1"/>
        <v>2</v>
      </c>
      <c r="W4" s="23">
        <f t="shared" si="1"/>
        <v>2</v>
      </c>
      <c r="X4" s="23">
        <f t="shared" si="1"/>
        <v>0</v>
      </c>
      <c r="Y4" s="23">
        <f t="shared" si="1"/>
        <v>6</v>
      </c>
      <c r="Z4" s="23">
        <f t="shared" si="1"/>
        <v>10</v>
      </c>
      <c r="AA4" s="23">
        <f t="shared" ref="AA4:AO14" si="2">_xlfn.IFNA(VLOOKUP($D4,Dulieutho,AA$2,FALSE),"")</f>
        <v>0</v>
      </c>
      <c r="AB4" s="23">
        <f t="shared" si="2"/>
        <v>300</v>
      </c>
      <c r="AC4" s="23">
        <f t="shared" si="2"/>
        <v>0</v>
      </c>
      <c r="AD4" s="23">
        <f t="shared" si="2"/>
        <v>100</v>
      </c>
      <c r="AE4" s="23">
        <f t="shared" si="2"/>
        <v>0</v>
      </c>
      <c r="AF4" s="23">
        <f t="shared" si="2"/>
        <v>0</v>
      </c>
      <c r="AG4" s="23">
        <f t="shared" si="2"/>
        <v>1000</v>
      </c>
      <c r="AH4" s="23">
        <f t="shared" si="2"/>
        <v>0</v>
      </c>
      <c r="AI4" s="23">
        <f t="shared" si="2"/>
        <v>4</v>
      </c>
      <c r="AJ4" s="23">
        <f t="shared" si="2"/>
        <v>2</v>
      </c>
      <c r="AK4" s="23">
        <f t="shared" si="2"/>
        <v>60</v>
      </c>
      <c r="AL4" s="23">
        <f t="shared" si="2"/>
        <v>0</v>
      </c>
      <c r="AM4" s="23">
        <f t="shared" si="2"/>
        <v>2</v>
      </c>
      <c r="AN4" s="23">
        <f t="shared" si="2"/>
        <v>0</v>
      </c>
      <c r="AO4" s="23">
        <f t="shared" si="2"/>
        <v>600</v>
      </c>
    </row>
    <row r="5" spans="1:41" ht="15.6">
      <c r="C5" s="10" t="s">
        <v>97</v>
      </c>
      <c r="D5" s="9" t="s">
        <v>499</v>
      </c>
      <c r="E5" s="11" t="s">
        <v>500</v>
      </c>
      <c r="F5" s="23" t="str">
        <f>_xlfn.IFNA(VLOOKUP($D5,Dulieutho,F$2,FALSE),"")</f>
        <v/>
      </c>
      <c r="G5" s="23" t="str">
        <f t="shared" si="0"/>
        <v/>
      </c>
      <c r="H5" s="23" t="str">
        <f t="shared" si="0"/>
        <v/>
      </c>
      <c r="I5" s="23" t="str">
        <f t="shared" si="0"/>
        <v/>
      </c>
      <c r="J5" s="23" t="str">
        <f t="shared" si="0"/>
        <v/>
      </c>
      <c r="K5" s="23" t="str">
        <f t="shared" si="0"/>
        <v/>
      </c>
      <c r="L5" s="23" t="str">
        <f t="shared" si="0"/>
        <v/>
      </c>
      <c r="M5" s="23" t="str">
        <f t="shared" si="0"/>
        <v/>
      </c>
      <c r="N5" s="23" t="str">
        <f t="shared" si="0"/>
        <v/>
      </c>
      <c r="O5" s="23" t="str">
        <f t="shared" si="0"/>
        <v/>
      </c>
      <c r="P5" s="23" t="str">
        <f t="shared" si="0"/>
        <v/>
      </c>
      <c r="Q5" s="23" t="str">
        <f t="shared" si="1"/>
        <v/>
      </c>
      <c r="R5" s="23" t="str">
        <f t="shared" si="1"/>
        <v/>
      </c>
      <c r="S5" s="23" t="str">
        <f t="shared" si="1"/>
        <v/>
      </c>
      <c r="T5" s="23" t="str">
        <f t="shared" si="1"/>
        <v/>
      </c>
      <c r="U5" s="23" t="str">
        <f t="shared" si="1"/>
        <v/>
      </c>
      <c r="V5" s="23" t="str">
        <f t="shared" si="1"/>
        <v/>
      </c>
      <c r="W5" s="23" t="str">
        <f t="shared" si="1"/>
        <v/>
      </c>
      <c r="X5" s="23" t="str">
        <f t="shared" si="1"/>
        <v/>
      </c>
      <c r="Y5" s="23" t="str">
        <f t="shared" si="1"/>
        <v/>
      </c>
      <c r="Z5" s="23" t="str">
        <f t="shared" si="1"/>
        <v/>
      </c>
      <c r="AA5" s="23" t="str">
        <f t="shared" si="2"/>
        <v/>
      </c>
      <c r="AB5" s="23" t="str">
        <f t="shared" si="2"/>
        <v/>
      </c>
      <c r="AC5" s="23" t="str">
        <f t="shared" si="2"/>
        <v/>
      </c>
      <c r="AD5" s="23" t="str">
        <f t="shared" si="2"/>
        <v/>
      </c>
      <c r="AE5" s="23" t="str">
        <f t="shared" si="2"/>
        <v/>
      </c>
      <c r="AF5" s="23" t="str">
        <f t="shared" si="2"/>
        <v/>
      </c>
      <c r="AG5" s="23" t="str">
        <f t="shared" si="2"/>
        <v/>
      </c>
      <c r="AH5" s="23" t="str">
        <f t="shared" si="2"/>
        <v/>
      </c>
      <c r="AI5" s="23" t="str">
        <f t="shared" si="2"/>
        <v/>
      </c>
      <c r="AJ5" s="23" t="str">
        <f t="shared" si="2"/>
        <v/>
      </c>
      <c r="AK5" s="23" t="str">
        <f t="shared" si="2"/>
        <v/>
      </c>
      <c r="AL5" s="23" t="str">
        <f t="shared" si="2"/>
        <v/>
      </c>
      <c r="AM5" s="23" t="str">
        <f t="shared" si="2"/>
        <v/>
      </c>
      <c r="AN5" s="23" t="str">
        <f t="shared" si="2"/>
        <v/>
      </c>
      <c r="AO5" s="23" t="str">
        <f t="shared" si="2"/>
        <v/>
      </c>
    </row>
    <row r="6" spans="1:41" ht="15.6">
      <c r="A6" t="s">
        <v>56</v>
      </c>
      <c r="C6" s="10" t="s">
        <v>97</v>
      </c>
      <c r="D6" s="9" t="s">
        <v>99</v>
      </c>
      <c r="E6" s="11" t="s">
        <v>100</v>
      </c>
      <c r="F6" s="23">
        <f>_xlfn.IFNA(VLOOKUP($D6,Dulieutho,F$2,FALSE),"")</f>
        <v>360</v>
      </c>
      <c r="G6" s="23">
        <f t="shared" si="0"/>
        <v>56</v>
      </c>
      <c r="H6" s="23">
        <f t="shared" si="0"/>
        <v>150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2</v>
      </c>
      <c r="O6" s="23">
        <f t="shared" si="0"/>
        <v>0</v>
      </c>
      <c r="P6" s="23">
        <f t="shared" si="0"/>
        <v>0</v>
      </c>
      <c r="Q6" s="23">
        <f t="shared" si="1"/>
        <v>3</v>
      </c>
      <c r="R6" s="23">
        <f t="shared" si="1"/>
        <v>21</v>
      </c>
      <c r="S6" s="23">
        <f t="shared" si="1"/>
        <v>0</v>
      </c>
      <c r="T6" s="23">
        <f t="shared" si="1"/>
        <v>12</v>
      </c>
      <c r="U6" s="23">
        <f t="shared" si="1"/>
        <v>0</v>
      </c>
      <c r="V6" s="23">
        <f t="shared" si="1"/>
        <v>4</v>
      </c>
      <c r="W6" s="23">
        <f t="shared" si="1"/>
        <v>12</v>
      </c>
      <c r="X6" s="23">
        <f t="shared" si="1"/>
        <v>0.5</v>
      </c>
      <c r="Y6" s="23">
        <f t="shared" si="1"/>
        <v>7</v>
      </c>
      <c r="Z6" s="23">
        <f t="shared" si="1"/>
        <v>0</v>
      </c>
      <c r="AA6" s="23">
        <f t="shared" si="2"/>
        <v>0</v>
      </c>
      <c r="AB6" s="23">
        <f t="shared" si="2"/>
        <v>0</v>
      </c>
      <c r="AC6" s="23">
        <f t="shared" si="2"/>
        <v>0</v>
      </c>
      <c r="AD6" s="23">
        <f t="shared" si="2"/>
        <v>0</v>
      </c>
      <c r="AE6" s="23">
        <f t="shared" si="2"/>
        <v>100</v>
      </c>
      <c r="AF6" s="23">
        <f t="shared" si="2"/>
        <v>0</v>
      </c>
      <c r="AG6" s="23">
        <f t="shared" si="2"/>
        <v>0</v>
      </c>
      <c r="AH6" s="23">
        <f t="shared" si="2"/>
        <v>0</v>
      </c>
      <c r="AI6" s="23">
        <f t="shared" si="2"/>
        <v>0</v>
      </c>
      <c r="AJ6" s="23">
        <f t="shared" si="2"/>
        <v>7</v>
      </c>
      <c r="AK6" s="23">
        <f t="shared" si="2"/>
        <v>0</v>
      </c>
      <c r="AL6" s="23">
        <f t="shared" si="2"/>
        <v>0</v>
      </c>
      <c r="AM6" s="23">
        <f t="shared" si="2"/>
        <v>0.5</v>
      </c>
      <c r="AN6" s="23">
        <f t="shared" si="2"/>
        <v>0</v>
      </c>
      <c r="AO6" s="23">
        <f t="shared" si="2"/>
        <v>0</v>
      </c>
    </row>
    <row r="7" spans="1:41" ht="15.6">
      <c r="A7" t="s">
        <v>57</v>
      </c>
      <c r="C7" s="10" t="s">
        <v>97</v>
      </c>
      <c r="D7" s="9" t="s">
        <v>101</v>
      </c>
      <c r="E7" s="11" t="s">
        <v>102</v>
      </c>
      <c r="F7" s="23" t="str">
        <f>_xlfn.IFNA(VLOOKUP($D7,Dulieutho,F$2,FALSE),"")</f>
        <v/>
      </c>
      <c r="G7" s="23" t="str">
        <f t="shared" si="0"/>
        <v/>
      </c>
      <c r="H7" s="23" t="str">
        <f t="shared" si="0"/>
        <v/>
      </c>
      <c r="I7" s="23" t="str">
        <f t="shared" si="0"/>
        <v/>
      </c>
      <c r="J7" s="23" t="str">
        <f t="shared" si="0"/>
        <v/>
      </c>
      <c r="K7" s="23" t="str">
        <f t="shared" si="0"/>
        <v/>
      </c>
      <c r="L7" s="23" t="str">
        <f t="shared" si="0"/>
        <v/>
      </c>
      <c r="M7" s="23" t="str">
        <f t="shared" si="0"/>
        <v/>
      </c>
      <c r="N7" s="23" t="str">
        <f t="shared" si="0"/>
        <v/>
      </c>
      <c r="O7" s="23" t="str">
        <f t="shared" si="0"/>
        <v/>
      </c>
      <c r="P7" s="23" t="str">
        <f t="shared" si="0"/>
        <v/>
      </c>
      <c r="Q7" s="23" t="str">
        <f t="shared" si="1"/>
        <v/>
      </c>
      <c r="R7" s="23" t="str">
        <f t="shared" si="1"/>
        <v/>
      </c>
      <c r="S7" s="23" t="str">
        <f t="shared" si="1"/>
        <v/>
      </c>
      <c r="T7" s="23" t="str">
        <f t="shared" si="1"/>
        <v/>
      </c>
      <c r="U7" s="23" t="str">
        <f t="shared" si="1"/>
        <v/>
      </c>
      <c r="V7" s="23" t="str">
        <f t="shared" si="1"/>
        <v/>
      </c>
      <c r="W7" s="23" t="str">
        <f t="shared" si="1"/>
        <v/>
      </c>
      <c r="X7" s="23" t="str">
        <f t="shared" si="1"/>
        <v/>
      </c>
      <c r="Y7" s="23" t="str">
        <f t="shared" si="1"/>
        <v/>
      </c>
      <c r="Z7" s="23" t="str">
        <f t="shared" si="1"/>
        <v/>
      </c>
      <c r="AA7" s="23" t="str">
        <f t="shared" si="2"/>
        <v/>
      </c>
      <c r="AB7" s="23" t="str">
        <f t="shared" si="2"/>
        <v/>
      </c>
      <c r="AC7" s="23" t="str">
        <f t="shared" si="2"/>
        <v/>
      </c>
      <c r="AD7" s="23" t="str">
        <f t="shared" si="2"/>
        <v/>
      </c>
      <c r="AE7" s="23" t="str">
        <f t="shared" si="2"/>
        <v/>
      </c>
      <c r="AF7" s="23" t="str">
        <f t="shared" si="2"/>
        <v/>
      </c>
      <c r="AG7" s="23" t="str">
        <f t="shared" si="2"/>
        <v/>
      </c>
      <c r="AH7" s="23" t="str">
        <f t="shared" si="2"/>
        <v/>
      </c>
      <c r="AI7" s="23" t="str">
        <f t="shared" si="2"/>
        <v/>
      </c>
      <c r="AJ7" s="23" t="str">
        <f t="shared" si="2"/>
        <v/>
      </c>
      <c r="AK7" s="23" t="str">
        <f t="shared" si="2"/>
        <v/>
      </c>
      <c r="AL7" s="23" t="str">
        <f t="shared" si="2"/>
        <v/>
      </c>
      <c r="AM7" s="23" t="str">
        <f t="shared" si="2"/>
        <v/>
      </c>
      <c r="AN7" s="23" t="str">
        <f t="shared" si="2"/>
        <v/>
      </c>
      <c r="AO7" s="23" t="str">
        <f t="shared" si="2"/>
        <v/>
      </c>
    </row>
    <row r="8" spans="1:41" ht="15.6">
      <c r="A8" t="s">
        <v>58</v>
      </c>
      <c r="C8" s="10" t="s">
        <v>97</v>
      </c>
      <c r="D8" s="9" t="s">
        <v>103</v>
      </c>
      <c r="E8" s="11" t="s">
        <v>104</v>
      </c>
      <c r="F8" s="23">
        <f>_xlfn.IFNA(VLOOKUP($D8,Dulieutho,F$2,FALSE),"")</f>
        <v>1912</v>
      </c>
      <c r="G8" s="23">
        <f t="shared" si="0"/>
        <v>144</v>
      </c>
      <c r="H8" s="23">
        <f t="shared" si="0"/>
        <v>880</v>
      </c>
      <c r="I8" s="23">
        <f t="shared" si="0"/>
        <v>360</v>
      </c>
      <c r="J8" s="23">
        <f t="shared" si="0"/>
        <v>630</v>
      </c>
      <c r="K8" s="23">
        <f t="shared" si="0"/>
        <v>1740</v>
      </c>
      <c r="L8" s="23">
        <f t="shared" si="0"/>
        <v>250</v>
      </c>
      <c r="M8" s="23">
        <f t="shared" si="0"/>
        <v>2</v>
      </c>
      <c r="N8" s="23">
        <f t="shared" si="0"/>
        <v>1</v>
      </c>
      <c r="O8" s="23">
        <f t="shared" si="0"/>
        <v>2</v>
      </c>
      <c r="P8" s="23">
        <f t="shared" si="0"/>
        <v>25</v>
      </c>
      <c r="Q8" s="23">
        <f t="shared" si="1"/>
        <v>8</v>
      </c>
      <c r="R8" s="23">
        <f t="shared" si="1"/>
        <v>39</v>
      </c>
      <c r="S8" s="23">
        <f t="shared" si="1"/>
        <v>72</v>
      </c>
      <c r="T8" s="23">
        <f t="shared" si="1"/>
        <v>11</v>
      </c>
      <c r="U8" s="23">
        <f t="shared" si="1"/>
        <v>36</v>
      </c>
      <c r="V8" s="23">
        <f t="shared" si="1"/>
        <v>20</v>
      </c>
      <c r="W8" s="23">
        <f t="shared" si="1"/>
        <v>10</v>
      </c>
      <c r="X8" s="23">
        <f t="shared" si="1"/>
        <v>0.5</v>
      </c>
      <c r="Y8" s="23">
        <f t="shared" si="1"/>
        <v>0</v>
      </c>
      <c r="Z8" s="23">
        <f t="shared" si="1"/>
        <v>32</v>
      </c>
      <c r="AA8" s="23">
        <f t="shared" si="2"/>
        <v>500</v>
      </c>
      <c r="AB8" s="23">
        <f t="shared" si="2"/>
        <v>1500</v>
      </c>
      <c r="AC8" s="23">
        <f t="shared" si="2"/>
        <v>600</v>
      </c>
      <c r="AD8" s="23">
        <f t="shared" si="2"/>
        <v>100</v>
      </c>
      <c r="AE8" s="23">
        <f t="shared" si="2"/>
        <v>200</v>
      </c>
      <c r="AF8" s="23">
        <f t="shared" si="2"/>
        <v>100</v>
      </c>
      <c r="AG8" s="23">
        <f t="shared" si="2"/>
        <v>3000</v>
      </c>
      <c r="AH8" s="23">
        <f t="shared" si="2"/>
        <v>1</v>
      </c>
      <c r="AI8" s="23">
        <f t="shared" si="2"/>
        <v>12</v>
      </c>
      <c r="AJ8" s="23">
        <f t="shared" si="2"/>
        <v>12</v>
      </c>
      <c r="AK8" s="23">
        <f t="shared" si="2"/>
        <v>270</v>
      </c>
      <c r="AL8" s="23">
        <f t="shared" si="2"/>
        <v>90</v>
      </c>
      <c r="AM8" s="23">
        <f t="shared" si="2"/>
        <v>2</v>
      </c>
      <c r="AN8" s="23">
        <f t="shared" si="2"/>
        <v>1</v>
      </c>
      <c r="AO8" s="23">
        <f t="shared" si="2"/>
        <v>0</v>
      </c>
    </row>
    <row r="9" spans="1:41" ht="15.6">
      <c r="A9" t="s">
        <v>59</v>
      </c>
      <c r="C9" s="10" t="s">
        <v>97</v>
      </c>
      <c r="D9" s="9" t="s">
        <v>105</v>
      </c>
      <c r="E9" s="11" t="s">
        <v>106</v>
      </c>
      <c r="F9" s="23">
        <f>_xlfn.IFNA(VLOOKUP($D9,Dulieutho,F$2,FALSE),"")</f>
        <v>2216</v>
      </c>
      <c r="G9" s="23">
        <f t="shared" si="0"/>
        <v>232</v>
      </c>
      <c r="H9" s="23">
        <f t="shared" si="0"/>
        <v>210</v>
      </c>
      <c r="I9" s="23">
        <f t="shared" si="0"/>
        <v>120</v>
      </c>
      <c r="J9" s="23">
        <f t="shared" si="0"/>
        <v>630</v>
      </c>
      <c r="K9" s="23">
        <f t="shared" si="0"/>
        <v>1680</v>
      </c>
      <c r="L9" s="23">
        <f t="shared" si="0"/>
        <v>1460</v>
      </c>
      <c r="M9" s="23">
        <f t="shared" si="0"/>
        <v>1</v>
      </c>
      <c r="N9" s="23">
        <f t="shared" si="0"/>
        <v>1</v>
      </c>
      <c r="O9" s="23">
        <f t="shared" si="0"/>
        <v>0.5</v>
      </c>
      <c r="P9" s="23">
        <f t="shared" si="0"/>
        <v>0</v>
      </c>
      <c r="Q9" s="23">
        <f t="shared" si="1"/>
        <v>1</v>
      </c>
      <c r="R9" s="23">
        <f t="shared" si="1"/>
        <v>11</v>
      </c>
      <c r="S9" s="23">
        <f t="shared" si="1"/>
        <v>132</v>
      </c>
      <c r="T9" s="23">
        <f t="shared" si="1"/>
        <v>6</v>
      </c>
      <c r="U9" s="23">
        <f t="shared" si="1"/>
        <v>24</v>
      </c>
      <c r="V9" s="23">
        <f t="shared" si="1"/>
        <v>14</v>
      </c>
      <c r="W9" s="23">
        <f t="shared" si="1"/>
        <v>10</v>
      </c>
      <c r="X9" s="23">
        <f t="shared" si="1"/>
        <v>1</v>
      </c>
      <c r="Y9" s="23">
        <f t="shared" si="1"/>
        <v>0</v>
      </c>
      <c r="Z9" s="23">
        <f t="shared" si="1"/>
        <v>34</v>
      </c>
      <c r="AA9" s="23">
        <f t="shared" si="2"/>
        <v>500</v>
      </c>
      <c r="AB9" s="23">
        <f t="shared" si="2"/>
        <v>1650</v>
      </c>
      <c r="AC9" s="23">
        <f t="shared" si="2"/>
        <v>100</v>
      </c>
      <c r="AD9" s="23">
        <f t="shared" si="2"/>
        <v>100</v>
      </c>
      <c r="AE9" s="23">
        <f t="shared" si="2"/>
        <v>0</v>
      </c>
      <c r="AF9" s="23">
        <f t="shared" si="2"/>
        <v>300</v>
      </c>
      <c r="AG9" s="23">
        <f t="shared" si="2"/>
        <v>2000</v>
      </c>
      <c r="AH9" s="23">
        <f t="shared" si="2"/>
        <v>1</v>
      </c>
      <c r="AI9" s="23">
        <f t="shared" si="2"/>
        <v>8</v>
      </c>
      <c r="AJ9" s="23">
        <f t="shared" si="2"/>
        <v>10</v>
      </c>
      <c r="AK9" s="23">
        <f t="shared" si="2"/>
        <v>300</v>
      </c>
      <c r="AL9" s="23">
        <f t="shared" si="2"/>
        <v>0</v>
      </c>
      <c r="AM9" s="23">
        <f t="shared" si="2"/>
        <v>0.5</v>
      </c>
      <c r="AN9" s="23">
        <f t="shared" si="2"/>
        <v>1</v>
      </c>
      <c r="AO9" s="23">
        <f t="shared" si="2"/>
        <v>0</v>
      </c>
    </row>
    <row r="10" spans="1:41" ht="15.6">
      <c r="C10" s="10" t="s">
        <v>97</v>
      </c>
      <c r="D10" s="9" t="s">
        <v>107</v>
      </c>
      <c r="E10" s="11" t="s">
        <v>108</v>
      </c>
      <c r="F10" s="23">
        <f>_xlfn.IFNA(VLOOKUP($D10,Dulieutho,F$2,FALSE),"")</f>
        <v>3480</v>
      </c>
      <c r="G10" s="23">
        <f t="shared" si="0"/>
        <v>656</v>
      </c>
      <c r="H10" s="23">
        <f t="shared" si="0"/>
        <v>500</v>
      </c>
      <c r="I10" s="23">
        <f t="shared" si="0"/>
        <v>816</v>
      </c>
      <c r="J10" s="23">
        <f t="shared" si="0"/>
        <v>1440</v>
      </c>
      <c r="K10" s="23">
        <f t="shared" si="0"/>
        <v>2520</v>
      </c>
      <c r="L10" s="23">
        <f t="shared" si="0"/>
        <v>400</v>
      </c>
      <c r="M10" s="23">
        <f t="shared" si="0"/>
        <v>1</v>
      </c>
      <c r="N10" s="23">
        <f t="shared" si="0"/>
        <v>1</v>
      </c>
      <c r="O10" s="23">
        <f t="shared" si="0"/>
        <v>4</v>
      </c>
      <c r="P10" s="23">
        <f t="shared" si="0"/>
        <v>25</v>
      </c>
      <c r="Q10" s="23">
        <f t="shared" si="1"/>
        <v>3</v>
      </c>
      <c r="R10" s="23">
        <f t="shared" si="1"/>
        <v>32</v>
      </c>
      <c r="S10" s="23">
        <f t="shared" si="1"/>
        <v>156</v>
      </c>
      <c r="T10" s="23">
        <f t="shared" si="1"/>
        <v>10</v>
      </c>
      <c r="U10" s="23">
        <f t="shared" si="1"/>
        <v>12</v>
      </c>
      <c r="V10" s="23">
        <f t="shared" si="1"/>
        <v>18</v>
      </c>
      <c r="W10" s="23">
        <f t="shared" si="1"/>
        <v>18</v>
      </c>
      <c r="X10" s="23">
        <f t="shared" si="1"/>
        <v>1.5</v>
      </c>
      <c r="Y10" s="23">
        <f t="shared" si="1"/>
        <v>2</v>
      </c>
      <c r="Z10" s="23">
        <f t="shared" si="1"/>
        <v>12</v>
      </c>
      <c r="AA10" s="23">
        <f t="shared" si="2"/>
        <v>1500</v>
      </c>
      <c r="AB10" s="23">
        <f t="shared" si="2"/>
        <v>2100</v>
      </c>
      <c r="AC10" s="23">
        <f t="shared" si="2"/>
        <v>300</v>
      </c>
      <c r="AD10" s="23">
        <f t="shared" si="2"/>
        <v>300</v>
      </c>
      <c r="AE10" s="23">
        <f t="shared" si="2"/>
        <v>300</v>
      </c>
      <c r="AF10" s="23">
        <f t="shared" si="2"/>
        <v>700</v>
      </c>
      <c r="AG10" s="23">
        <f t="shared" si="2"/>
        <v>5000</v>
      </c>
      <c r="AH10" s="23">
        <f t="shared" si="2"/>
        <v>1</v>
      </c>
      <c r="AI10" s="23">
        <f t="shared" si="2"/>
        <v>20</v>
      </c>
      <c r="AJ10" s="23">
        <f t="shared" si="2"/>
        <v>23</v>
      </c>
      <c r="AK10" s="23">
        <f t="shared" si="2"/>
        <v>390</v>
      </c>
      <c r="AL10" s="23">
        <f t="shared" si="2"/>
        <v>0</v>
      </c>
      <c r="AM10" s="23">
        <f t="shared" si="2"/>
        <v>1.5</v>
      </c>
      <c r="AN10" s="23">
        <f t="shared" si="2"/>
        <v>1</v>
      </c>
      <c r="AO10" s="23">
        <f t="shared" si="2"/>
        <v>0</v>
      </c>
    </row>
    <row r="11" spans="1:41" ht="15.6">
      <c r="A11" t="s">
        <v>60</v>
      </c>
      <c r="C11" s="10" t="s">
        <v>97</v>
      </c>
      <c r="D11" s="9" t="s">
        <v>109</v>
      </c>
      <c r="E11" s="11" t="s">
        <v>110</v>
      </c>
      <c r="F11" s="23">
        <f>_xlfn.IFNA(VLOOKUP($D11,Dulieutho,F$2,FALSE),"")</f>
        <v>2556</v>
      </c>
      <c r="G11" s="23">
        <f t="shared" si="0"/>
        <v>148</v>
      </c>
      <c r="H11" s="23">
        <f t="shared" si="0"/>
        <v>600</v>
      </c>
      <c r="I11" s="23">
        <f t="shared" si="0"/>
        <v>192</v>
      </c>
      <c r="J11" s="23">
        <f t="shared" si="0"/>
        <v>900</v>
      </c>
      <c r="K11" s="23">
        <f t="shared" si="0"/>
        <v>2040</v>
      </c>
      <c r="L11" s="23">
        <f t="shared" si="0"/>
        <v>160</v>
      </c>
      <c r="M11" s="23">
        <f t="shared" si="0"/>
        <v>0</v>
      </c>
      <c r="N11" s="23">
        <f t="shared" si="0"/>
        <v>0</v>
      </c>
      <c r="O11" s="23">
        <f t="shared" si="0"/>
        <v>2</v>
      </c>
      <c r="P11" s="23">
        <f t="shared" si="0"/>
        <v>50</v>
      </c>
      <c r="Q11" s="23">
        <f t="shared" si="1"/>
        <v>6</v>
      </c>
      <c r="R11" s="23">
        <f t="shared" si="1"/>
        <v>21.5</v>
      </c>
      <c r="S11" s="23">
        <f t="shared" si="1"/>
        <v>60</v>
      </c>
      <c r="T11" s="23">
        <f t="shared" si="1"/>
        <v>0</v>
      </c>
      <c r="U11" s="23">
        <f t="shared" si="1"/>
        <v>36</v>
      </c>
      <c r="V11" s="23">
        <f t="shared" si="1"/>
        <v>28</v>
      </c>
      <c r="W11" s="23">
        <f t="shared" si="1"/>
        <v>19</v>
      </c>
      <c r="X11" s="23">
        <f t="shared" si="1"/>
        <v>0</v>
      </c>
      <c r="Y11" s="23">
        <f t="shared" si="1"/>
        <v>2</v>
      </c>
      <c r="Z11" s="23">
        <f t="shared" si="1"/>
        <v>28</v>
      </c>
      <c r="AA11" s="23">
        <f t="shared" si="2"/>
        <v>500</v>
      </c>
      <c r="AB11" s="23">
        <f t="shared" si="2"/>
        <v>1350</v>
      </c>
      <c r="AC11" s="23">
        <f t="shared" si="2"/>
        <v>300</v>
      </c>
      <c r="AD11" s="23">
        <f t="shared" si="2"/>
        <v>200</v>
      </c>
      <c r="AE11" s="23">
        <f t="shared" si="2"/>
        <v>300</v>
      </c>
      <c r="AF11" s="23">
        <f t="shared" si="2"/>
        <v>200</v>
      </c>
      <c r="AG11" s="23">
        <f t="shared" si="2"/>
        <v>3000</v>
      </c>
      <c r="AH11" s="23">
        <f t="shared" si="2"/>
        <v>1</v>
      </c>
      <c r="AI11" s="23">
        <f t="shared" si="2"/>
        <v>12</v>
      </c>
      <c r="AJ11" s="23">
        <f t="shared" si="2"/>
        <v>17</v>
      </c>
      <c r="AK11" s="23">
        <f t="shared" si="2"/>
        <v>180</v>
      </c>
      <c r="AL11" s="23">
        <f t="shared" si="2"/>
        <v>210</v>
      </c>
      <c r="AM11" s="23">
        <f t="shared" si="2"/>
        <v>3</v>
      </c>
      <c r="AN11" s="23">
        <f t="shared" si="2"/>
        <v>0</v>
      </c>
      <c r="AO11" s="23">
        <f t="shared" si="2"/>
        <v>0</v>
      </c>
    </row>
    <row r="12" spans="1:41" ht="15.6">
      <c r="A12" t="s">
        <v>69</v>
      </c>
      <c r="C12" s="10" t="s">
        <v>97</v>
      </c>
      <c r="D12" s="9" t="s">
        <v>111</v>
      </c>
      <c r="E12" s="11" t="s">
        <v>112</v>
      </c>
      <c r="F12" s="23">
        <f>_xlfn.IFNA(VLOOKUP($D12,Dulieutho,F$2,FALSE),"")</f>
        <v>628</v>
      </c>
      <c r="G12" s="23">
        <f t="shared" si="0"/>
        <v>136</v>
      </c>
      <c r="H12" s="23">
        <f t="shared" si="0"/>
        <v>270</v>
      </c>
      <c r="I12" s="23">
        <f t="shared" si="0"/>
        <v>264</v>
      </c>
      <c r="J12" s="23">
        <f t="shared" si="0"/>
        <v>270</v>
      </c>
      <c r="K12" s="23">
        <f t="shared" si="0"/>
        <v>660</v>
      </c>
      <c r="L12" s="23">
        <f t="shared" si="0"/>
        <v>120</v>
      </c>
      <c r="M12" s="23">
        <f t="shared" si="0"/>
        <v>1</v>
      </c>
      <c r="N12" s="23">
        <f t="shared" si="0"/>
        <v>2</v>
      </c>
      <c r="O12" s="23">
        <f t="shared" si="0"/>
        <v>1</v>
      </c>
      <c r="P12" s="23">
        <f t="shared" si="0"/>
        <v>0</v>
      </c>
      <c r="Q12" s="23">
        <f t="shared" si="1"/>
        <v>1</v>
      </c>
      <c r="R12" s="23">
        <f t="shared" si="1"/>
        <v>8.5</v>
      </c>
      <c r="S12" s="23">
        <f t="shared" si="1"/>
        <v>24</v>
      </c>
      <c r="T12" s="23">
        <f t="shared" si="1"/>
        <v>4</v>
      </c>
      <c r="U12" s="23">
        <f t="shared" si="1"/>
        <v>0</v>
      </c>
      <c r="V12" s="23">
        <f t="shared" si="1"/>
        <v>10</v>
      </c>
      <c r="W12" s="23">
        <f t="shared" si="1"/>
        <v>9</v>
      </c>
      <c r="X12" s="23">
        <f t="shared" si="1"/>
        <v>0</v>
      </c>
      <c r="Y12" s="23">
        <f t="shared" si="1"/>
        <v>5</v>
      </c>
      <c r="Z12" s="23">
        <f t="shared" si="1"/>
        <v>16</v>
      </c>
      <c r="AA12" s="23">
        <f t="shared" si="2"/>
        <v>0</v>
      </c>
      <c r="AB12" s="23">
        <f t="shared" si="2"/>
        <v>450</v>
      </c>
      <c r="AC12" s="23">
        <f t="shared" si="2"/>
        <v>200</v>
      </c>
      <c r="AD12" s="23">
        <f t="shared" si="2"/>
        <v>100</v>
      </c>
      <c r="AE12" s="23">
        <f t="shared" si="2"/>
        <v>200</v>
      </c>
      <c r="AF12" s="23">
        <f t="shared" si="2"/>
        <v>100</v>
      </c>
      <c r="AG12" s="23">
        <f t="shared" si="2"/>
        <v>1000</v>
      </c>
      <c r="AH12" s="23">
        <f t="shared" si="2"/>
        <v>1</v>
      </c>
      <c r="AI12" s="23">
        <f t="shared" si="2"/>
        <v>4</v>
      </c>
      <c r="AJ12" s="23">
        <f t="shared" si="2"/>
        <v>5</v>
      </c>
      <c r="AK12" s="23">
        <f t="shared" si="2"/>
        <v>240</v>
      </c>
      <c r="AL12" s="23">
        <f t="shared" si="2"/>
        <v>0</v>
      </c>
      <c r="AM12" s="23">
        <f t="shared" si="2"/>
        <v>0</v>
      </c>
      <c r="AN12" s="23">
        <f t="shared" si="2"/>
        <v>0</v>
      </c>
      <c r="AO12" s="23">
        <f t="shared" si="2"/>
        <v>0</v>
      </c>
    </row>
    <row r="13" spans="1:41" ht="15.6">
      <c r="A13" t="s">
        <v>62</v>
      </c>
      <c r="C13" s="10" t="s">
        <v>97</v>
      </c>
      <c r="D13" s="9" t="s">
        <v>113</v>
      </c>
      <c r="E13" s="11" t="s">
        <v>114</v>
      </c>
      <c r="F13" s="23">
        <f>_xlfn.IFNA(VLOOKUP($D13,Dulieutho,F$2,FALSE),"")</f>
        <v>1348</v>
      </c>
      <c r="G13" s="23">
        <f t="shared" si="0"/>
        <v>168</v>
      </c>
      <c r="H13" s="23">
        <f t="shared" si="0"/>
        <v>320</v>
      </c>
      <c r="I13" s="23">
        <f t="shared" si="0"/>
        <v>336</v>
      </c>
      <c r="J13" s="23">
        <f t="shared" si="0"/>
        <v>0</v>
      </c>
      <c r="K13" s="23">
        <f t="shared" si="0"/>
        <v>0</v>
      </c>
      <c r="L13" s="23">
        <f t="shared" si="0"/>
        <v>0</v>
      </c>
      <c r="M13" s="23">
        <f t="shared" si="0"/>
        <v>3</v>
      </c>
      <c r="N13" s="23">
        <f t="shared" si="0"/>
        <v>1</v>
      </c>
      <c r="O13" s="23">
        <f t="shared" si="0"/>
        <v>1</v>
      </c>
      <c r="P13" s="23">
        <f t="shared" si="0"/>
        <v>0</v>
      </c>
      <c r="Q13" s="23">
        <f t="shared" si="1"/>
        <v>3</v>
      </c>
      <c r="R13" s="23">
        <f t="shared" si="1"/>
        <v>8</v>
      </c>
      <c r="S13" s="23">
        <f t="shared" si="1"/>
        <v>48</v>
      </c>
      <c r="T13" s="23">
        <f t="shared" si="1"/>
        <v>6</v>
      </c>
      <c r="U13" s="23">
        <f t="shared" si="1"/>
        <v>24</v>
      </c>
      <c r="V13" s="23">
        <f t="shared" si="1"/>
        <v>18</v>
      </c>
      <c r="W13" s="23">
        <f t="shared" si="1"/>
        <v>13</v>
      </c>
      <c r="X13" s="23">
        <f t="shared" si="1"/>
        <v>1</v>
      </c>
      <c r="Y13" s="23">
        <f t="shared" si="1"/>
        <v>16</v>
      </c>
      <c r="Z13" s="23">
        <f t="shared" si="1"/>
        <v>0</v>
      </c>
      <c r="AA13" s="23">
        <f t="shared" si="2"/>
        <v>1000</v>
      </c>
      <c r="AB13" s="23">
        <f t="shared" si="2"/>
        <v>300</v>
      </c>
      <c r="AC13" s="23">
        <f t="shared" si="2"/>
        <v>100</v>
      </c>
      <c r="AD13" s="23">
        <f t="shared" si="2"/>
        <v>100</v>
      </c>
      <c r="AE13" s="23">
        <f t="shared" si="2"/>
        <v>200</v>
      </c>
      <c r="AF13" s="23">
        <f t="shared" si="2"/>
        <v>200</v>
      </c>
      <c r="AG13" s="23">
        <f t="shared" si="2"/>
        <v>2000</v>
      </c>
      <c r="AH13" s="23">
        <f t="shared" si="2"/>
        <v>1</v>
      </c>
      <c r="AI13" s="23">
        <f t="shared" si="2"/>
        <v>8</v>
      </c>
      <c r="AJ13" s="23">
        <f t="shared" si="2"/>
        <v>8</v>
      </c>
      <c r="AK13" s="23">
        <f t="shared" si="2"/>
        <v>0</v>
      </c>
      <c r="AL13" s="23">
        <f t="shared" si="2"/>
        <v>0</v>
      </c>
      <c r="AM13" s="23">
        <f t="shared" si="2"/>
        <v>1</v>
      </c>
      <c r="AN13" s="23">
        <f t="shared" si="2"/>
        <v>1</v>
      </c>
      <c r="AO13" s="23">
        <f t="shared" si="2"/>
        <v>0</v>
      </c>
    </row>
    <row r="14" spans="1:41" ht="15.6">
      <c r="A14" t="s">
        <v>63</v>
      </c>
      <c r="C14" s="10" t="s">
        <v>97</v>
      </c>
      <c r="D14" s="9" t="s">
        <v>115</v>
      </c>
      <c r="E14" s="11" t="s">
        <v>116</v>
      </c>
      <c r="F14" s="23">
        <f>_xlfn.IFNA(VLOOKUP($D14,Dulieutho,F$2,FALSE),"")</f>
        <v>1152</v>
      </c>
      <c r="G14" s="23">
        <f t="shared" si="0"/>
        <v>148</v>
      </c>
      <c r="H14" s="23">
        <f t="shared" si="0"/>
        <v>350</v>
      </c>
      <c r="I14" s="23">
        <f t="shared" si="0"/>
        <v>360</v>
      </c>
      <c r="J14" s="23">
        <f t="shared" si="0"/>
        <v>540</v>
      </c>
      <c r="K14" s="23">
        <f t="shared" si="0"/>
        <v>900</v>
      </c>
      <c r="L14" s="23">
        <f t="shared" si="0"/>
        <v>230</v>
      </c>
      <c r="M14" s="23">
        <f t="shared" si="0"/>
        <v>3</v>
      </c>
      <c r="N14" s="23">
        <f t="shared" si="0"/>
        <v>1</v>
      </c>
      <c r="O14" s="23">
        <f t="shared" si="0"/>
        <v>1.5</v>
      </c>
      <c r="P14" s="23">
        <f t="shared" si="0"/>
        <v>25</v>
      </c>
      <c r="Q14" s="23">
        <f t="shared" si="1"/>
        <v>2</v>
      </c>
      <c r="R14" s="23">
        <f t="shared" si="1"/>
        <v>3</v>
      </c>
      <c r="S14" s="23">
        <f t="shared" si="1"/>
        <v>48</v>
      </c>
      <c r="T14" s="23">
        <f t="shared" si="1"/>
        <v>5</v>
      </c>
      <c r="U14" s="23">
        <f t="shared" si="1"/>
        <v>24</v>
      </c>
      <c r="V14" s="23">
        <f t="shared" si="1"/>
        <v>14</v>
      </c>
      <c r="W14" s="23">
        <f t="shared" si="1"/>
        <v>12</v>
      </c>
      <c r="X14" s="23">
        <f t="shared" si="1"/>
        <v>1.5</v>
      </c>
      <c r="Y14" s="23">
        <f t="shared" si="1"/>
        <v>21</v>
      </c>
      <c r="Z14" s="23">
        <f t="shared" si="1"/>
        <v>48</v>
      </c>
      <c r="AA14" s="23">
        <f t="shared" si="2"/>
        <v>1000</v>
      </c>
      <c r="AB14" s="23">
        <f t="shared" si="2"/>
        <v>0</v>
      </c>
      <c r="AC14" s="23">
        <f t="shared" si="2"/>
        <v>0</v>
      </c>
      <c r="AD14" s="23">
        <f t="shared" si="2"/>
        <v>200</v>
      </c>
      <c r="AE14" s="23">
        <f t="shared" si="2"/>
        <v>400</v>
      </c>
      <c r="AF14" s="23">
        <f t="shared" si="2"/>
        <v>200</v>
      </c>
      <c r="AG14" s="23">
        <f t="shared" si="2"/>
        <v>2000</v>
      </c>
      <c r="AH14" s="23">
        <f t="shared" si="2"/>
        <v>1</v>
      </c>
      <c r="AI14" s="23">
        <f t="shared" si="2"/>
        <v>9</v>
      </c>
      <c r="AJ14" s="23">
        <f t="shared" si="2"/>
        <v>9</v>
      </c>
      <c r="AK14" s="23">
        <f t="shared" si="2"/>
        <v>240</v>
      </c>
      <c r="AL14" s="23">
        <f t="shared" si="2"/>
        <v>120</v>
      </c>
      <c r="AM14" s="23">
        <f t="shared" si="2"/>
        <v>3</v>
      </c>
      <c r="AN14" s="23">
        <f t="shared" si="2"/>
        <v>2</v>
      </c>
      <c r="AO14" s="23">
        <f t="shared" si="2"/>
        <v>0</v>
      </c>
    </row>
    <row r="15" spans="1:41" ht="15.6">
      <c r="A15" t="s">
        <v>68</v>
      </c>
      <c r="C15" s="10" t="s">
        <v>97</v>
      </c>
      <c r="D15" s="9" t="s">
        <v>117</v>
      </c>
      <c r="E15" s="11" t="s">
        <v>118</v>
      </c>
      <c r="F15" s="23">
        <f>_xlfn.IFNA(VLOOKUP($D15,Dulieutho,F$2,FALSE),"")</f>
        <v>900</v>
      </c>
      <c r="G15" s="23">
        <f t="shared" ref="G15:P24" si="3">_xlfn.IFNA(VLOOKUP($D15,Dulieutho,G$2,FALSE),"")</f>
        <v>160</v>
      </c>
      <c r="H15" s="23">
        <f t="shared" si="3"/>
        <v>140</v>
      </c>
      <c r="I15" s="23">
        <f t="shared" si="3"/>
        <v>264</v>
      </c>
      <c r="J15" s="23">
        <f t="shared" si="3"/>
        <v>360</v>
      </c>
      <c r="K15" s="23">
        <f t="shared" si="3"/>
        <v>540</v>
      </c>
      <c r="L15" s="23">
        <f t="shared" si="3"/>
        <v>160</v>
      </c>
      <c r="M15" s="23">
        <f t="shared" si="3"/>
        <v>1</v>
      </c>
      <c r="N15" s="23">
        <f t="shared" si="3"/>
        <v>1</v>
      </c>
      <c r="O15" s="23">
        <f t="shared" si="3"/>
        <v>0.5</v>
      </c>
      <c r="P15" s="23">
        <f t="shared" si="3"/>
        <v>0</v>
      </c>
      <c r="Q15" s="23">
        <f t="shared" ref="Q15:Z24" si="4">_xlfn.IFNA(VLOOKUP($D15,Dulieutho,Q$2,FALSE),"")</f>
        <v>2</v>
      </c>
      <c r="R15" s="23">
        <f t="shared" si="4"/>
        <v>4</v>
      </c>
      <c r="S15" s="23">
        <f t="shared" si="4"/>
        <v>48</v>
      </c>
      <c r="T15" s="23">
        <f t="shared" si="4"/>
        <v>2</v>
      </c>
      <c r="U15" s="23">
        <f t="shared" si="4"/>
        <v>12</v>
      </c>
      <c r="V15" s="23">
        <f t="shared" si="4"/>
        <v>8</v>
      </c>
      <c r="W15" s="23">
        <f t="shared" si="4"/>
        <v>13</v>
      </c>
      <c r="X15" s="23">
        <f t="shared" si="4"/>
        <v>0.5</v>
      </c>
      <c r="Y15" s="23">
        <f t="shared" si="4"/>
        <v>0</v>
      </c>
      <c r="Z15" s="23">
        <f t="shared" si="4"/>
        <v>4</v>
      </c>
      <c r="AA15" s="23">
        <f t="shared" ref="AA15:AO24" si="5">_xlfn.IFNA(VLOOKUP($D15,Dulieutho,AA$2,FALSE),"")</f>
        <v>0</v>
      </c>
      <c r="AB15" s="23">
        <f t="shared" si="5"/>
        <v>450</v>
      </c>
      <c r="AC15" s="23">
        <f t="shared" si="5"/>
        <v>0</v>
      </c>
      <c r="AD15" s="23">
        <f t="shared" si="5"/>
        <v>100</v>
      </c>
      <c r="AE15" s="23">
        <f t="shared" si="5"/>
        <v>100</v>
      </c>
      <c r="AF15" s="23">
        <f t="shared" si="5"/>
        <v>200</v>
      </c>
      <c r="AG15" s="23">
        <f t="shared" si="5"/>
        <v>1000</v>
      </c>
      <c r="AH15" s="23">
        <f t="shared" si="5"/>
        <v>1</v>
      </c>
      <c r="AI15" s="23">
        <f t="shared" si="5"/>
        <v>4</v>
      </c>
      <c r="AJ15" s="23">
        <f t="shared" si="5"/>
        <v>5</v>
      </c>
      <c r="AK15" s="23">
        <f t="shared" si="5"/>
        <v>90</v>
      </c>
      <c r="AL15" s="23">
        <f t="shared" si="5"/>
        <v>0</v>
      </c>
      <c r="AM15" s="23">
        <f t="shared" si="5"/>
        <v>0.5</v>
      </c>
      <c r="AN15" s="23">
        <f t="shared" si="5"/>
        <v>0</v>
      </c>
      <c r="AO15" s="23">
        <f t="shared" si="5"/>
        <v>0</v>
      </c>
    </row>
    <row r="16" spans="1:41" ht="15.6">
      <c r="A16" t="s">
        <v>61</v>
      </c>
      <c r="C16" s="10" t="s">
        <v>97</v>
      </c>
      <c r="D16" s="9" t="s">
        <v>119</v>
      </c>
      <c r="E16" s="11" t="s">
        <v>120</v>
      </c>
      <c r="F16" s="23">
        <f>_xlfn.IFNA(VLOOKUP($D16,Dulieutho,F$2,FALSE),"")</f>
        <v>1060</v>
      </c>
      <c r="G16" s="23">
        <f t="shared" si="3"/>
        <v>240</v>
      </c>
      <c r="H16" s="23">
        <f t="shared" si="3"/>
        <v>240</v>
      </c>
      <c r="I16" s="23">
        <f t="shared" si="3"/>
        <v>552</v>
      </c>
      <c r="J16" s="23">
        <f t="shared" si="3"/>
        <v>540</v>
      </c>
      <c r="K16" s="23">
        <f t="shared" si="3"/>
        <v>660</v>
      </c>
      <c r="L16" s="23">
        <f t="shared" si="3"/>
        <v>260</v>
      </c>
      <c r="M16" s="23">
        <f t="shared" si="3"/>
        <v>4</v>
      </c>
      <c r="N16" s="23">
        <f t="shared" si="3"/>
        <v>1</v>
      </c>
      <c r="O16" s="23">
        <f t="shared" si="3"/>
        <v>4</v>
      </c>
      <c r="P16" s="23">
        <f t="shared" si="3"/>
        <v>0</v>
      </c>
      <c r="Q16" s="23">
        <f t="shared" si="4"/>
        <v>1</v>
      </c>
      <c r="R16" s="23">
        <f t="shared" si="4"/>
        <v>9</v>
      </c>
      <c r="S16" s="23">
        <f t="shared" si="4"/>
        <v>60</v>
      </c>
      <c r="T16" s="23">
        <f t="shared" si="4"/>
        <v>0</v>
      </c>
      <c r="U16" s="23">
        <f t="shared" si="4"/>
        <v>24</v>
      </c>
      <c r="V16" s="23">
        <f t="shared" si="4"/>
        <v>12</v>
      </c>
      <c r="W16" s="23">
        <f t="shared" si="4"/>
        <v>10</v>
      </c>
      <c r="X16" s="23">
        <f t="shared" si="4"/>
        <v>1</v>
      </c>
      <c r="Y16" s="23">
        <f t="shared" si="4"/>
        <v>0</v>
      </c>
      <c r="Z16" s="23">
        <f t="shared" si="4"/>
        <v>26</v>
      </c>
      <c r="AA16" s="23">
        <f t="shared" si="5"/>
        <v>500</v>
      </c>
      <c r="AB16" s="23">
        <f t="shared" si="5"/>
        <v>600</v>
      </c>
      <c r="AC16" s="23">
        <f t="shared" si="5"/>
        <v>0</v>
      </c>
      <c r="AD16" s="23">
        <f t="shared" si="5"/>
        <v>300</v>
      </c>
      <c r="AE16" s="23">
        <f t="shared" si="5"/>
        <v>300</v>
      </c>
      <c r="AF16" s="23">
        <f t="shared" si="5"/>
        <v>200</v>
      </c>
      <c r="AG16" s="23">
        <f t="shared" si="5"/>
        <v>1000</v>
      </c>
      <c r="AH16" s="23">
        <f t="shared" si="5"/>
        <v>0</v>
      </c>
      <c r="AI16" s="23">
        <f t="shared" si="5"/>
        <v>4</v>
      </c>
      <c r="AJ16" s="23">
        <f t="shared" si="5"/>
        <v>8</v>
      </c>
      <c r="AK16" s="23">
        <f t="shared" si="5"/>
        <v>90</v>
      </c>
      <c r="AL16" s="23">
        <f t="shared" si="5"/>
        <v>0</v>
      </c>
      <c r="AM16" s="23">
        <f t="shared" si="5"/>
        <v>1</v>
      </c>
      <c r="AN16" s="23">
        <f t="shared" si="5"/>
        <v>0</v>
      </c>
      <c r="AO16" s="23">
        <f t="shared" si="5"/>
        <v>0</v>
      </c>
    </row>
    <row r="17" spans="1:41" ht="15.6">
      <c r="A17" t="s">
        <v>64</v>
      </c>
      <c r="C17" s="10" t="s">
        <v>97</v>
      </c>
      <c r="D17" s="9" t="s">
        <v>121</v>
      </c>
      <c r="E17" s="11" t="s">
        <v>122</v>
      </c>
      <c r="F17" s="23">
        <f>_xlfn.IFNA(VLOOKUP($D17,Dulieutho,F$2,FALSE),"")</f>
        <v>1040</v>
      </c>
      <c r="G17" s="23">
        <f t="shared" si="3"/>
        <v>132</v>
      </c>
      <c r="H17" s="23">
        <f t="shared" si="3"/>
        <v>100</v>
      </c>
      <c r="I17" s="23">
        <f t="shared" si="3"/>
        <v>72</v>
      </c>
      <c r="J17" s="23">
        <f t="shared" si="3"/>
        <v>360</v>
      </c>
      <c r="K17" s="23">
        <f t="shared" si="3"/>
        <v>660</v>
      </c>
      <c r="L17" s="23">
        <f t="shared" si="3"/>
        <v>110</v>
      </c>
      <c r="M17" s="23">
        <f t="shared" si="3"/>
        <v>0</v>
      </c>
      <c r="N17" s="23">
        <f t="shared" si="3"/>
        <v>0</v>
      </c>
      <c r="O17" s="23">
        <f t="shared" si="3"/>
        <v>0</v>
      </c>
      <c r="P17" s="23">
        <f t="shared" si="3"/>
        <v>25</v>
      </c>
      <c r="Q17" s="23">
        <f t="shared" si="4"/>
        <v>0</v>
      </c>
      <c r="R17" s="23">
        <f t="shared" si="4"/>
        <v>4</v>
      </c>
      <c r="S17" s="23">
        <f t="shared" si="4"/>
        <v>0</v>
      </c>
      <c r="T17" s="23">
        <f t="shared" si="4"/>
        <v>2</v>
      </c>
      <c r="U17" s="23">
        <f t="shared" si="4"/>
        <v>12</v>
      </c>
      <c r="V17" s="23">
        <f t="shared" si="4"/>
        <v>4</v>
      </c>
      <c r="W17" s="23">
        <f t="shared" si="4"/>
        <v>0</v>
      </c>
      <c r="X17" s="23">
        <f t="shared" si="4"/>
        <v>0</v>
      </c>
      <c r="Y17" s="23">
        <f t="shared" si="4"/>
        <v>0</v>
      </c>
      <c r="Z17" s="23">
        <f t="shared" si="4"/>
        <v>2</v>
      </c>
      <c r="AA17" s="23">
        <f t="shared" si="5"/>
        <v>0</v>
      </c>
      <c r="AB17" s="23">
        <f t="shared" si="5"/>
        <v>150</v>
      </c>
      <c r="AC17" s="23">
        <f t="shared" si="5"/>
        <v>0</v>
      </c>
      <c r="AD17" s="23">
        <f t="shared" si="5"/>
        <v>0</v>
      </c>
      <c r="AE17" s="23">
        <f t="shared" si="5"/>
        <v>100</v>
      </c>
      <c r="AF17" s="23">
        <f t="shared" si="5"/>
        <v>100</v>
      </c>
      <c r="AG17" s="23">
        <f t="shared" si="5"/>
        <v>0</v>
      </c>
      <c r="AH17" s="23">
        <f t="shared" si="5"/>
        <v>0</v>
      </c>
      <c r="AI17" s="23">
        <f t="shared" si="5"/>
        <v>0</v>
      </c>
      <c r="AJ17" s="23">
        <f t="shared" si="5"/>
        <v>2</v>
      </c>
      <c r="AK17" s="23">
        <f t="shared" si="5"/>
        <v>0</v>
      </c>
      <c r="AL17" s="23">
        <f t="shared" si="5"/>
        <v>0</v>
      </c>
      <c r="AM17" s="23">
        <f t="shared" si="5"/>
        <v>0</v>
      </c>
      <c r="AN17" s="23">
        <f t="shared" si="5"/>
        <v>0</v>
      </c>
      <c r="AO17" s="23">
        <f t="shared" si="5"/>
        <v>0</v>
      </c>
    </row>
    <row r="18" spans="1:41" ht="15.6">
      <c r="A18" t="s">
        <v>65</v>
      </c>
      <c r="C18" s="10" t="s">
        <v>97</v>
      </c>
      <c r="D18" s="9" t="s">
        <v>123</v>
      </c>
      <c r="E18" s="11" t="s">
        <v>124</v>
      </c>
      <c r="F18" s="23">
        <f>_xlfn.IFNA(VLOOKUP($D18,Dulieutho,F$2,FALSE),"")</f>
        <v>588</v>
      </c>
      <c r="G18" s="23">
        <f t="shared" si="3"/>
        <v>52</v>
      </c>
      <c r="H18" s="23">
        <f t="shared" si="3"/>
        <v>220</v>
      </c>
      <c r="I18" s="23">
        <f t="shared" si="3"/>
        <v>144</v>
      </c>
      <c r="J18" s="23">
        <f t="shared" si="3"/>
        <v>270</v>
      </c>
      <c r="K18" s="23">
        <f t="shared" si="3"/>
        <v>300</v>
      </c>
      <c r="L18" s="23">
        <f t="shared" si="3"/>
        <v>50</v>
      </c>
      <c r="M18" s="23">
        <f t="shared" si="3"/>
        <v>0</v>
      </c>
      <c r="N18" s="23">
        <f t="shared" si="3"/>
        <v>0</v>
      </c>
      <c r="O18" s="23">
        <f t="shared" si="3"/>
        <v>0.5</v>
      </c>
      <c r="P18" s="23">
        <f t="shared" si="3"/>
        <v>0</v>
      </c>
      <c r="Q18" s="23">
        <f t="shared" si="4"/>
        <v>1</v>
      </c>
      <c r="R18" s="23">
        <f t="shared" si="4"/>
        <v>11</v>
      </c>
      <c r="S18" s="23">
        <f t="shared" si="4"/>
        <v>12</v>
      </c>
      <c r="T18" s="23">
        <f t="shared" si="4"/>
        <v>2</v>
      </c>
      <c r="U18" s="23">
        <f t="shared" si="4"/>
        <v>0</v>
      </c>
      <c r="V18" s="23">
        <f t="shared" si="4"/>
        <v>8</v>
      </c>
      <c r="W18" s="23">
        <f t="shared" si="4"/>
        <v>11</v>
      </c>
      <c r="X18" s="23">
        <f t="shared" si="4"/>
        <v>0.5</v>
      </c>
      <c r="Y18" s="23">
        <f t="shared" si="4"/>
        <v>0</v>
      </c>
      <c r="Z18" s="23">
        <f t="shared" si="4"/>
        <v>6</v>
      </c>
      <c r="AA18" s="23">
        <f t="shared" si="5"/>
        <v>500</v>
      </c>
      <c r="AB18" s="23">
        <f t="shared" si="5"/>
        <v>300</v>
      </c>
      <c r="AC18" s="23">
        <f t="shared" si="5"/>
        <v>100</v>
      </c>
      <c r="AD18" s="23">
        <f t="shared" si="5"/>
        <v>0</v>
      </c>
      <c r="AE18" s="23">
        <f t="shared" si="5"/>
        <v>100</v>
      </c>
      <c r="AF18" s="23">
        <f t="shared" si="5"/>
        <v>0</v>
      </c>
      <c r="AG18" s="23">
        <f t="shared" si="5"/>
        <v>0</v>
      </c>
      <c r="AH18" s="23">
        <f t="shared" si="5"/>
        <v>0</v>
      </c>
      <c r="AI18" s="23">
        <f t="shared" si="5"/>
        <v>0</v>
      </c>
      <c r="AJ18" s="23">
        <f t="shared" si="5"/>
        <v>3</v>
      </c>
      <c r="AK18" s="23">
        <f t="shared" si="5"/>
        <v>180</v>
      </c>
      <c r="AL18" s="23">
        <f t="shared" si="5"/>
        <v>0</v>
      </c>
      <c r="AM18" s="23">
        <f t="shared" si="5"/>
        <v>1.5</v>
      </c>
      <c r="AN18" s="23">
        <f t="shared" si="5"/>
        <v>0</v>
      </c>
      <c r="AO18" s="23">
        <f t="shared" si="5"/>
        <v>0</v>
      </c>
    </row>
    <row r="19" spans="1:41" ht="15.6">
      <c r="A19" t="s">
        <v>66</v>
      </c>
      <c r="C19" s="10" t="s">
        <v>97</v>
      </c>
      <c r="D19" s="9" t="s">
        <v>125</v>
      </c>
      <c r="E19" s="11" t="s">
        <v>126</v>
      </c>
      <c r="F19" s="23">
        <f>_xlfn.IFNA(VLOOKUP($D19,Dulieutho,F$2,FALSE),"")</f>
        <v>2688</v>
      </c>
      <c r="G19" s="23">
        <f t="shared" si="3"/>
        <v>412</v>
      </c>
      <c r="H19" s="23">
        <f t="shared" si="3"/>
        <v>700</v>
      </c>
      <c r="I19" s="23">
        <f t="shared" si="3"/>
        <v>600</v>
      </c>
      <c r="J19" s="23">
        <f t="shared" si="3"/>
        <v>1440</v>
      </c>
      <c r="K19" s="23">
        <f t="shared" si="3"/>
        <v>1980</v>
      </c>
      <c r="L19" s="23">
        <f t="shared" si="3"/>
        <v>410</v>
      </c>
      <c r="M19" s="23">
        <f t="shared" si="3"/>
        <v>3</v>
      </c>
      <c r="N19" s="23">
        <f t="shared" si="3"/>
        <v>3</v>
      </c>
      <c r="O19" s="23">
        <f t="shared" si="3"/>
        <v>2.5</v>
      </c>
      <c r="P19" s="23">
        <f t="shared" si="3"/>
        <v>50</v>
      </c>
      <c r="Q19" s="23">
        <f t="shared" si="4"/>
        <v>10</v>
      </c>
      <c r="R19" s="23">
        <f t="shared" si="4"/>
        <v>22.5</v>
      </c>
      <c r="S19" s="23">
        <f t="shared" si="4"/>
        <v>120</v>
      </c>
      <c r="T19" s="23">
        <f t="shared" si="4"/>
        <v>5</v>
      </c>
      <c r="U19" s="23">
        <f t="shared" si="4"/>
        <v>72</v>
      </c>
      <c r="V19" s="23">
        <f t="shared" si="4"/>
        <v>24</v>
      </c>
      <c r="W19" s="23">
        <f t="shared" si="4"/>
        <v>11</v>
      </c>
      <c r="X19" s="23">
        <f t="shared" si="4"/>
        <v>2</v>
      </c>
      <c r="Y19" s="23">
        <f t="shared" si="4"/>
        <v>20</v>
      </c>
      <c r="Z19" s="23">
        <f t="shared" si="4"/>
        <v>34</v>
      </c>
      <c r="AA19" s="23">
        <f t="shared" si="5"/>
        <v>1500</v>
      </c>
      <c r="AB19" s="23">
        <f t="shared" si="5"/>
        <v>1050</v>
      </c>
      <c r="AC19" s="23">
        <f t="shared" si="5"/>
        <v>100</v>
      </c>
      <c r="AD19" s="23">
        <f t="shared" si="5"/>
        <v>300</v>
      </c>
      <c r="AE19" s="23">
        <f t="shared" si="5"/>
        <v>500</v>
      </c>
      <c r="AF19" s="23">
        <f t="shared" si="5"/>
        <v>300</v>
      </c>
      <c r="AG19" s="23">
        <f t="shared" si="5"/>
        <v>3000</v>
      </c>
      <c r="AH19" s="23">
        <f t="shared" si="5"/>
        <v>1</v>
      </c>
      <c r="AI19" s="23">
        <f t="shared" si="5"/>
        <v>12</v>
      </c>
      <c r="AJ19" s="23">
        <f t="shared" si="5"/>
        <v>11</v>
      </c>
      <c r="AK19" s="23">
        <f t="shared" si="5"/>
        <v>270</v>
      </c>
      <c r="AL19" s="23">
        <f t="shared" si="5"/>
        <v>0</v>
      </c>
      <c r="AM19" s="23">
        <f t="shared" si="5"/>
        <v>2</v>
      </c>
      <c r="AN19" s="23">
        <f t="shared" si="5"/>
        <v>0</v>
      </c>
      <c r="AO19" s="23">
        <f t="shared" si="5"/>
        <v>0</v>
      </c>
    </row>
    <row r="20" spans="1:41" ht="15.6">
      <c r="A20" t="s">
        <v>67</v>
      </c>
      <c r="C20" s="10" t="s">
        <v>97</v>
      </c>
      <c r="D20" s="9" t="s">
        <v>0</v>
      </c>
      <c r="E20" s="11" t="s">
        <v>127</v>
      </c>
      <c r="F20" s="23">
        <f>_xlfn.IFNA(VLOOKUP($D20,Dulieutho,F$2,FALSE),"")</f>
        <v>888</v>
      </c>
      <c r="G20" s="23">
        <f t="shared" si="3"/>
        <v>268</v>
      </c>
      <c r="H20" s="23">
        <f t="shared" si="3"/>
        <v>230</v>
      </c>
      <c r="I20" s="23">
        <f t="shared" si="3"/>
        <v>384</v>
      </c>
      <c r="J20" s="23">
        <f t="shared" si="3"/>
        <v>0</v>
      </c>
      <c r="K20" s="23">
        <f t="shared" si="3"/>
        <v>60</v>
      </c>
      <c r="L20" s="23">
        <f t="shared" si="3"/>
        <v>220</v>
      </c>
      <c r="M20" s="23">
        <f t="shared" si="3"/>
        <v>0</v>
      </c>
      <c r="N20" s="23">
        <f t="shared" si="3"/>
        <v>2</v>
      </c>
      <c r="O20" s="23">
        <f t="shared" si="3"/>
        <v>3.5</v>
      </c>
      <c r="P20" s="23">
        <f t="shared" si="3"/>
        <v>0</v>
      </c>
      <c r="Q20" s="23">
        <f t="shared" si="4"/>
        <v>0</v>
      </c>
      <c r="R20" s="23">
        <f t="shared" si="4"/>
        <v>2.5</v>
      </c>
      <c r="S20" s="23">
        <f t="shared" si="4"/>
        <v>60</v>
      </c>
      <c r="T20" s="23">
        <f t="shared" si="4"/>
        <v>2</v>
      </c>
      <c r="U20" s="23">
        <f t="shared" si="4"/>
        <v>0</v>
      </c>
      <c r="V20" s="23">
        <f t="shared" si="4"/>
        <v>14</v>
      </c>
      <c r="W20" s="23">
        <f t="shared" si="4"/>
        <v>10</v>
      </c>
      <c r="X20" s="23">
        <f t="shared" si="4"/>
        <v>0</v>
      </c>
      <c r="Y20" s="23">
        <f t="shared" si="4"/>
        <v>7</v>
      </c>
      <c r="Z20" s="23">
        <f t="shared" si="4"/>
        <v>24</v>
      </c>
      <c r="AA20" s="23">
        <f t="shared" si="5"/>
        <v>500</v>
      </c>
      <c r="AB20" s="23">
        <f t="shared" si="5"/>
        <v>450</v>
      </c>
      <c r="AC20" s="23">
        <f t="shared" si="5"/>
        <v>100</v>
      </c>
      <c r="AD20" s="23">
        <f t="shared" si="5"/>
        <v>200</v>
      </c>
      <c r="AE20" s="23">
        <f t="shared" si="5"/>
        <v>100</v>
      </c>
      <c r="AF20" s="23">
        <f t="shared" si="5"/>
        <v>300</v>
      </c>
      <c r="AG20" s="23">
        <f t="shared" si="5"/>
        <v>1000</v>
      </c>
      <c r="AH20" s="23">
        <f t="shared" si="5"/>
        <v>0</v>
      </c>
      <c r="AI20" s="23">
        <f t="shared" si="5"/>
        <v>4</v>
      </c>
      <c r="AJ20" s="23">
        <f t="shared" si="5"/>
        <v>7</v>
      </c>
      <c r="AK20" s="23">
        <f t="shared" si="5"/>
        <v>0</v>
      </c>
      <c r="AL20" s="23">
        <f t="shared" si="5"/>
        <v>0</v>
      </c>
      <c r="AM20" s="23">
        <f t="shared" si="5"/>
        <v>1</v>
      </c>
      <c r="AN20" s="23">
        <f t="shared" si="5"/>
        <v>1</v>
      </c>
      <c r="AO20" s="23">
        <f t="shared" si="5"/>
        <v>1500</v>
      </c>
    </row>
    <row r="21" spans="1:41" ht="15.6">
      <c r="C21" s="10" t="s">
        <v>97</v>
      </c>
      <c r="D21" s="9" t="s">
        <v>128</v>
      </c>
      <c r="E21" s="11" t="s">
        <v>129</v>
      </c>
      <c r="F21" s="23">
        <f>_xlfn.IFNA(VLOOKUP($D21,Dulieutho,F$2,FALSE),"")</f>
        <v>1136</v>
      </c>
      <c r="G21" s="23">
        <f t="shared" si="3"/>
        <v>212</v>
      </c>
      <c r="H21" s="23">
        <f t="shared" si="3"/>
        <v>220</v>
      </c>
      <c r="I21" s="23">
        <f t="shared" si="3"/>
        <v>240</v>
      </c>
      <c r="J21" s="23">
        <f t="shared" si="3"/>
        <v>720</v>
      </c>
      <c r="K21" s="23">
        <f t="shared" si="3"/>
        <v>840</v>
      </c>
      <c r="L21" s="23">
        <f t="shared" si="3"/>
        <v>190</v>
      </c>
      <c r="M21" s="23">
        <f t="shared" si="3"/>
        <v>0</v>
      </c>
      <c r="N21" s="23">
        <f t="shared" si="3"/>
        <v>2</v>
      </c>
      <c r="O21" s="23">
        <f t="shared" si="3"/>
        <v>1</v>
      </c>
      <c r="P21" s="23">
        <f t="shared" si="3"/>
        <v>25</v>
      </c>
      <c r="Q21" s="23">
        <f t="shared" si="4"/>
        <v>3</v>
      </c>
      <c r="R21" s="23">
        <f t="shared" si="4"/>
        <v>10</v>
      </c>
      <c r="S21" s="23">
        <f t="shared" si="4"/>
        <v>84</v>
      </c>
      <c r="T21" s="23">
        <f t="shared" si="4"/>
        <v>1</v>
      </c>
      <c r="U21" s="23">
        <f t="shared" si="4"/>
        <v>24</v>
      </c>
      <c r="V21" s="23">
        <f t="shared" si="4"/>
        <v>10</v>
      </c>
      <c r="W21" s="23">
        <f t="shared" si="4"/>
        <v>7</v>
      </c>
      <c r="X21" s="23">
        <f t="shared" si="4"/>
        <v>0</v>
      </c>
      <c r="Y21" s="23">
        <f t="shared" si="4"/>
        <v>12</v>
      </c>
      <c r="Z21" s="23">
        <f t="shared" si="4"/>
        <v>18</v>
      </c>
      <c r="AA21" s="23">
        <f t="shared" si="5"/>
        <v>500</v>
      </c>
      <c r="AB21" s="23">
        <f t="shared" si="5"/>
        <v>900</v>
      </c>
      <c r="AC21" s="23">
        <f t="shared" si="5"/>
        <v>0</v>
      </c>
      <c r="AD21" s="23">
        <f t="shared" si="5"/>
        <v>200</v>
      </c>
      <c r="AE21" s="23">
        <f t="shared" si="5"/>
        <v>200</v>
      </c>
      <c r="AF21" s="23">
        <f t="shared" si="5"/>
        <v>200</v>
      </c>
      <c r="AG21" s="23">
        <f t="shared" si="5"/>
        <v>2000</v>
      </c>
      <c r="AH21" s="23">
        <f t="shared" si="5"/>
        <v>0</v>
      </c>
      <c r="AI21" s="23">
        <f t="shared" si="5"/>
        <v>8</v>
      </c>
      <c r="AJ21" s="23">
        <f t="shared" si="5"/>
        <v>9</v>
      </c>
      <c r="AK21" s="23">
        <f t="shared" si="5"/>
        <v>150</v>
      </c>
      <c r="AL21" s="23">
        <f t="shared" si="5"/>
        <v>0</v>
      </c>
      <c r="AM21" s="23">
        <f t="shared" si="5"/>
        <v>1</v>
      </c>
      <c r="AN21" s="23">
        <f t="shared" si="5"/>
        <v>0</v>
      </c>
      <c r="AO21" s="23">
        <f t="shared" si="5"/>
        <v>0</v>
      </c>
    </row>
    <row r="22" spans="1:41" ht="15.6">
      <c r="C22" s="10" t="s">
        <v>97</v>
      </c>
      <c r="D22" s="9" t="s">
        <v>130</v>
      </c>
      <c r="E22" s="11" t="s">
        <v>131</v>
      </c>
      <c r="F22" s="23">
        <f>_xlfn.IFNA(VLOOKUP($D22,Dulieutho,F$2,FALSE),"")</f>
        <v>832</v>
      </c>
      <c r="G22" s="23">
        <f t="shared" si="3"/>
        <v>124</v>
      </c>
      <c r="H22" s="23">
        <f t="shared" si="3"/>
        <v>430</v>
      </c>
      <c r="I22" s="23">
        <f t="shared" si="3"/>
        <v>240</v>
      </c>
      <c r="J22" s="23">
        <f t="shared" si="3"/>
        <v>450</v>
      </c>
      <c r="K22" s="23">
        <f t="shared" si="3"/>
        <v>660</v>
      </c>
      <c r="L22" s="23">
        <f t="shared" si="3"/>
        <v>130</v>
      </c>
      <c r="M22" s="23">
        <f t="shared" si="3"/>
        <v>0</v>
      </c>
      <c r="N22" s="23">
        <f t="shared" si="3"/>
        <v>2</v>
      </c>
      <c r="O22" s="23">
        <f t="shared" si="3"/>
        <v>1.5</v>
      </c>
      <c r="P22" s="23">
        <f t="shared" si="3"/>
        <v>25</v>
      </c>
      <c r="Q22" s="23">
        <f t="shared" si="4"/>
        <v>3</v>
      </c>
      <c r="R22" s="23">
        <f t="shared" si="4"/>
        <v>16.5</v>
      </c>
      <c r="S22" s="23">
        <f t="shared" si="4"/>
        <v>60</v>
      </c>
      <c r="T22" s="23">
        <f t="shared" si="4"/>
        <v>0</v>
      </c>
      <c r="U22" s="23">
        <f t="shared" si="4"/>
        <v>12</v>
      </c>
      <c r="V22" s="23">
        <f t="shared" si="4"/>
        <v>12</v>
      </c>
      <c r="W22" s="23">
        <f t="shared" si="4"/>
        <v>9</v>
      </c>
      <c r="X22" s="23">
        <f t="shared" si="4"/>
        <v>0</v>
      </c>
      <c r="Y22" s="23">
        <f t="shared" si="4"/>
        <v>0</v>
      </c>
      <c r="Z22" s="23">
        <f t="shared" si="4"/>
        <v>14</v>
      </c>
      <c r="AA22" s="23">
        <f t="shared" si="5"/>
        <v>500</v>
      </c>
      <c r="AB22" s="23">
        <f t="shared" si="5"/>
        <v>600</v>
      </c>
      <c r="AC22" s="23">
        <f t="shared" si="5"/>
        <v>200</v>
      </c>
      <c r="AD22" s="23">
        <f t="shared" si="5"/>
        <v>100</v>
      </c>
      <c r="AE22" s="23">
        <f t="shared" si="5"/>
        <v>200</v>
      </c>
      <c r="AF22" s="23">
        <f t="shared" si="5"/>
        <v>0</v>
      </c>
      <c r="AG22" s="23">
        <f t="shared" si="5"/>
        <v>2000</v>
      </c>
      <c r="AH22" s="23">
        <f t="shared" si="5"/>
        <v>0</v>
      </c>
      <c r="AI22" s="23">
        <f t="shared" si="5"/>
        <v>8</v>
      </c>
      <c r="AJ22" s="23">
        <f t="shared" si="5"/>
        <v>6</v>
      </c>
      <c r="AK22" s="23">
        <f t="shared" si="5"/>
        <v>150</v>
      </c>
      <c r="AL22" s="23">
        <f t="shared" si="5"/>
        <v>30</v>
      </c>
      <c r="AM22" s="23">
        <f t="shared" si="5"/>
        <v>1</v>
      </c>
      <c r="AN22" s="23">
        <f t="shared" si="5"/>
        <v>1</v>
      </c>
      <c r="AO22" s="23">
        <f t="shared" si="5"/>
        <v>0</v>
      </c>
    </row>
    <row r="23" spans="1:41" ht="15.6">
      <c r="C23" s="10" t="s">
        <v>97</v>
      </c>
      <c r="D23" s="9" t="s">
        <v>132</v>
      </c>
      <c r="E23" s="11" t="s">
        <v>133</v>
      </c>
      <c r="F23" s="23">
        <f>_xlfn.IFNA(VLOOKUP($D23,Dulieutho,F$2,FALSE),"")</f>
        <v>812</v>
      </c>
      <c r="G23" s="23">
        <f t="shared" si="3"/>
        <v>92</v>
      </c>
      <c r="H23" s="23">
        <f t="shared" si="3"/>
        <v>70</v>
      </c>
      <c r="I23" s="23">
        <f t="shared" si="3"/>
        <v>96</v>
      </c>
      <c r="J23" s="23">
        <f t="shared" si="3"/>
        <v>450</v>
      </c>
      <c r="K23" s="23">
        <f t="shared" si="3"/>
        <v>900</v>
      </c>
      <c r="L23" s="23">
        <f t="shared" si="3"/>
        <v>70</v>
      </c>
      <c r="M23" s="23">
        <f t="shared" si="3"/>
        <v>0</v>
      </c>
      <c r="N23" s="23">
        <f t="shared" si="3"/>
        <v>0</v>
      </c>
      <c r="O23" s="23">
        <f t="shared" si="3"/>
        <v>0</v>
      </c>
      <c r="P23" s="23">
        <f t="shared" si="3"/>
        <v>0</v>
      </c>
      <c r="Q23" s="23">
        <f t="shared" si="4"/>
        <v>0</v>
      </c>
      <c r="R23" s="23">
        <f t="shared" si="4"/>
        <v>0</v>
      </c>
      <c r="S23" s="23">
        <f t="shared" si="4"/>
        <v>96</v>
      </c>
      <c r="T23" s="23">
        <f t="shared" si="4"/>
        <v>0</v>
      </c>
      <c r="U23" s="23">
        <f t="shared" si="4"/>
        <v>0</v>
      </c>
      <c r="V23" s="23">
        <f t="shared" si="4"/>
        <v>4</v>
      </c>
      <c r="W23" s="23">
        <f t="shared" si="4"/>
        <v>10</v>
      </c>
      <c r="X23" s="23">
        <f t="shared" si="4"/>
        <v>0</v>
      </c>
      <c r="Y23" s="23">
        <f t="shared" si="4"/>
        <v>0</v>
      </c>
      <c r="Z23" s="23">
        <f t="shared" si="4"/>
        <v>14</v>
      </c>
      <c r="AA23" s="23">
        <f t="shared" si="5"/>
        <v>1000</v>
      </c>
      <c r="AB23" s="23">
        <f t="shared" si="5"/>
        <v>300</v>
      </c>
      <c r="AC23" s="23">
        <f t="shared" si="5"/>
        <v>100</v>
      </c>
      <c r="AD23" s="23">
        <f t="shared" si="5"/>
        <v>0</v>
      </c>
      <c r="AE23" s="23">
        <f t="shared" si="5"/>
        <v>100</v>
      </c>
      <c r="AF23" s="23">
        <f t="shared" si="5"/>
        <v>100</v>
      </c>
      <c r="AG23" s="23">
        <f t="shared" si="5"/>
        <v>1000</v>
      </c>
      <c r="AH23" s="23">
        <f t="shared" si="5"/>
        <v>1</v>
      </c>
      <c r="AI23" s="23">
        <f t="shared" si="5"/>
        <v>4</v>
      </c>
      <c r="AJ23" s="23">
        <f t="shared" si="5"/>
        <v>8</v>
      </c>
      <c r="AK23" s="23">
        <f t="shared" si="5"/>
        <v>60</v>
      </c>
      <c r="AL23" s="23">
        <f t="shared" si="5"/>
        <v>0</v>
      </c>
      <c r="AM23" s="23">
        <f t="shared" si="5"/>
        <v>3</v>
      </c>
      <c r="AN23" s="23">
        <f t="shared" si="5"/>
        <v>1</v>
      </c>
      <c r="AO23" s="23">
        <f t="shared" si="5"/>
        <v>0</v>
      </c>
    </row>
    <row r="24" spans="1:41" ht="15.6">
      <c r="C24" s="10" t="s">
        <v>97</v>
      </c>
      <c r="D24" s="9" t="s">
        <v>134</v>
      </c>
      <c r="E24" s="11" t="s">
        <v>135</v>
      </c>
      <c r="F24" s="23">
        <f>_xlfn.IFNA(VLOOKUP($D24,Dulieutho,F$2,FALSE),"")</f>
        <v>916</v>
      </c>
      <c r="G24" s="23">
        <f t="shared" si="3"/>
        <v>104</v>
      </c>
      <c r="H24" s="23">
        <f t="shared" si="3"/>
        <v>150</v>
      </c>
      <c r="I24" s="23">
        <f t="shared" si="3"/>
        <v>168</v>
      </c>
      <c r="J24" s="23">
        <f t="shared" si="3"/>
        <v>270</v>
      </c>
      <c r="K24" s="23">
        <f t="shared" si="3"/>
        <v>720</v>
      </c>
      <c r="L24" s="23">
        <f t="shared" si="3"/>
        <v>110</v>
      </c>
      <c r="M24" s="23">
        <f t="shared" si="3"/>
        <v>1</v>
      </c>
      <c r="N24" s="23">
        <f t="shared" si="3"/>
        <v>0</v>
      </c>
      <c r="O24" s="23">
        <f t="shared" si="3"/>
        <v>0.5</v>
      </c>
      <c r="P24" s="23">
        <f t="shared" si="3"/>
        <v>0</v>
      </c>
      <c r="Q24" s="23">
        <f t="shared" si="4"/>
        <v>1</v>
      </c>
      <c r="R24" s="23">
        <f t="shared" si="4"/>
        <v>12</v>
      </c>
      <c r="S24" s="23">
        <f t="shared" si="4"/>
        <v>36</v>
      </c>
      <c r="T24" s="23">
        <f t="shared" si="4"/>
        <v>4</v>
      </c>
      <c r="U24" s="23">
        <f t="shared" si="4"/>
        <v>12</v>
      </c>
      <c r="V24" s="23">
        <f t="shared" si="4"/>
        <v>8</v>
      </c>
      <c r="W24" s="23">
        <f t="shared" si="4"/>
        <v>4</v>
      </c>
      <c r="X24" s="23">
        <f t="shared" si="4"/>
        <v>0.5</v>
      </c>
      <c r="Y24" s="23">
        <f t="shared" si="4"/>
        <v>0</v>
      </c>
      <c r="Z24" s="23">
        <f t="shared" si="4"/>
        <v>10</v>
      </c>
      <c r="AA24" s="23">
        <f t="shared" si="5"/>
        <v>500</v>
      </c>
      <c r="AB24" s="23">
        <f t="shared" si="5"/>
        <v>750</v>
      </c>
      <c r="AC24" s="23">
        <f t="shared" si="5"/>
        <v>100</v>
      </c>
      <c r="AD24" s="23">
        <f t="shared" si="5"/>
        <v>0</v>
      </c>
      <c r="AE24" s="23">
        <f t="shared" si="5"/>
        <v>0</v>
      </c>
      <c r="AF24" s="23">
        <f t="shared" si="5"/>
        <v>100</v>
      </c>
      <c r="AG24" s="23">
        <f t="shared" si="5"/>
        <v>1000</v>
      </c>
      <c r="AH24" s="23">
        <f t="shared" si="5"/>
        <v>0</v>
      </c>
      <c r="AI24" s="23">
        <f t="shared" si="5"/>
        <v>4</v>
      </c>
      <c r="AJ24" s="23">
        <f t="shared" si="5"/>
        <v>4</v>
      </c>
      <c r="AK24" s="23">
        <f t="shared" si="5"/>
        <v>150</v>
      </c>
      <c r="AL24" s="23">
        <f t="shared" si="5"/>
        <v>0</v>
      </c>
      <c r="AM24" s="23">
        <f t="shared" si="5"/>
        <v>0.5</v>
      </c>
      <c r="AN24" s="23">
        <f t="shared" si="5"/>
        <v>0</v>
      </c>
      <c r="AO24" s="23">
        <f t="shared" si="5"/>
        <v>0</v>
      </c>
    </row>
    <row r="25" spans="1:41" ht="15.6">
      <c r="C25" s="10" t="s">
        <v>97</v>
      </c>
      <c r="D25" s="9" t="s">
        <v>136</v>
      </c>
      <c r="E25" s="11" t="s">
        <v>137</v>
      </c>
      <c r="F25" s="23">
        <f>_xlfn.IFNA(VLOOKUP($D25,Dulieutho,F$2,FALSE),"")</f>
        <v>460</v>
      </c>
      <c r="G25" s="23">
        <f t="shared" ref="G25:P34" si="6">_xlfn.IFNA(VLOOKUP($D25,Dulieutho,G$2,FALSE),"")</f>
        <v>48</v>
      </c>
      <c r="H25" s="23">
        <f t="shared" si="6"/>
        <v>60</v>
      </c>
      <c r="I25" s="23">
        <f t="shared" si="6"/>
        <v>24</v>
      </c>
      <c r="J25" s="23">
        <f t="shared" si="6"/>
        <v>90</v>
      </c>
      <c r="K25" s="23">
        <f t="shared" si="6"/>
        <v>660</v>
      </c>
      <c r="L25" s="23">
        <f t="shared" si="6"/>
        <v>120</v>
      </c>
      <c r="M25" s="23">
        <f t="shared" si="6"/>
        <v>1</v>
      </c>
      <c r="N25" s="23">
        <f t="shared" si="6"/>
        <v>0</v>
      </c>
      <c r="O25" s="23">
        <f t="shared" si="6"/>
        <v>0</v>
      </c>
      <c r="P25" s="23">
        <f t="shared" si="6"/>
        <v>0</v>
      </c>
      <c r="Q25" s="23">
        <f t="shared" ref="Q25:Z34" si="7">_xlfn.IFNA(VLOOKUP($D25,Dulieutho,Q$2,FALSE),"")</f>
        <v>2</v>
      </c>
      <c r="R25" s="23">
        <f t="shared" si="7"/>
        <v>9</v>
      </c>
      <c r="S25" s="23">
        <f t="shared" si="7"/>
        <v>36</v>
      </c>
      <c r="T25" s="23">
        <f t="shared" si="7"/>
        <v>0</v>
      </c>
      <c r="U25" s="23">
        <f t="shared" si="7"/>
        <v>0</v>
      </c>
      <c r="V25" s="23">
        <f t="shared" si="7"/>
        <v>12</v>
      </c>
      <c r="W25" s="23">
        <f t="shared" si="7"/>
        <v>4</v>
      </c>
      <c r="X25" s="23">
        <f t="shared" si="7"/>
        <v>0</v>
      </c>
      <c r="Y25" s="23">
        <f t="shared" si="7"/>
        <v>0</v>
      </c>
      <c r="Z25" s="23">
        <f t="shared" si="7"/>
        <v>6</v>
      </c>
      <c r="AA25" s="23">
        <f t="shared" ref="AA25:AO34" si="8">_xlfn.IFNA(VLOOKUP($D25,Dulieutho,AA$2,FALSE),"")</f>
        <v>0</v>
      </c>
      <c r="AB25" s="23">
        <f t="shared" si="8"/>
        <v>450</v>
      </c>
      <c r="AC25" s="23">
        <f t="shared" si="8"/>
        <v>0</v>
      </c>
      <c r="AD25" s="23">
        <f t="shared" si="8"/>
        <v>0</v>
      </c>
      <c r="AE25" s="23">
        <f t="shared" si="8"/>
        <v>100</v>
      </c>
      <c r="AF25" s="23">
        <f t="shared" si="8"/>
        <v>200</v>
      </c>
      <c r="AG25" s="23">
        <f t="shared" si="8"/>
        <v>0</v>
      </c>
      <c r="AH25" s="23">
        <f t="shared" si="8"/>
        <v>1</v>
      </c>
      <c r="AI25" s="23">
        <f t="shared" si="8"/>
        <v>0</v>
      </c>
      <c r="AJ25" s="23">
        <f t="shared" si="8"/>
        <v>6</v>
      </c>
      <c r="AK25" s="23">
        <f t="shared" si="8"/>
        <v>30</v>
      </c>
      <c r="AL25" s="23">
        <f t="shared" si="8"/>
        <v>0</v>
      </c>
      <c r="AM25" s="23">
        <f t="shared" si="8"/>
        <v>0</v>
      </c>
      <c r="AN25" s="23">
        <f t="shared" si="8"/>
        <v>0</v>
      </c>
      <c r="AO25" s="23">
        <f t="shared" si="8"/>
        <v>0</v>
      </c>
    </row>
    <row r="26" spans="1:41" ht="15.6">
      <c r="C26" s="10" t="s">
        <v>97</v>
      </c>
      <c r="D26" s="9" t="s">
        <v>138</v>
      </c>
      <c r="E26" s="11" t="s">
        <v>139</v>
      </c>
      <c r="F26" s="23">
        <f>_xlfn.IFNA(VLOOKUP($D26,Dulieutho,F$2,FALSE),"")</f>
        <v>812</v>
      </c>
      <c r="G26" s="23">
        <f t="shared" si="6"/>
        <v>128</v>
      </c>
      <c r="H26" s="23">
        <f t="shared" si="6"/>
        <v>280</v>
      </c>
      <c r="I26" s="23">
        <f t="shared" si="6"/>
        <v>384</v>
      </c>
      <c r="J26" s="23">
        <f t="shared" si="6"/>
        <v>360</v>
      </c>
      <c r="K26" s="23">
        <f t="shared" si="6"/>
        <v>600</v>
      </c>
      <c r="L26" s="23">
        <f t="shared" si="6"/>
        <v>130</v>
      </c>
      <c r="M26" s="23">
        <f t="shared" si="6"/>
        <v>0</v>
      </c>
      <c r="N26" s="23">
        <f t="shared" si="6"/>
        <v>1</v>
      </c>
      <c r="O26" s="23">
        <f t="shared" si="6"/>
        <v>2</v>
      </c>
      <c r="P26" s="23">
        <f t="shared" si="6"/>
        <v>0</v>
      </c>
      <c r="Q26" s="23">
        <f t="shared" si="7"/>
        <v>2</v>
      </c>
      <c r="R26" s="23">
        <f t="shared" si="7"/>
        <v>11</v>
      </c>
      <c r="S26" s="23">
        <f t="shared" si="7"/>
        <v>60</v>
      </c>
      <c r="T26" s="23">
        <f t="shared" si="7"/>
        <v>4</v>
      </c>
      <c r="U26" s="23">
        <f t="shared" si="7"/>
        <v>12</v>
      </c>
      <c r="V26" s="23">
        <f t="shared" si="7"/>
        <v>8</v>
      </c>
      <c r="W26" s="23">
        <f t="shared" si="7"/>
        <v>10</v>
      </c>
      <c r="X26" s="23">
        <f t="shared" si="7"/>
        <v>0.5</v>
      </c>
      <c r="Y26" s="23">
        <f t="shared" si="7"/>
        <v>4</v>
      </c>
      <c r="Z26" s="23">
        <f t="shared" si="7"/>
        <v>12</v>
      </c>
      <c r="AA26" s="23">
        <f t="shared" si="8"/>
        <v>0</v>
      </c>
      <c r="AB26" s="23">
        <f t="shared" si="8"/>
        <v>450</v>
      </c>
      <c r="AC26" s="23">
        <f t="shared" si="8"/>
        <v>200</v>
      </c>
      <c r="AD26" s="23">
        <f t="shared" si="8"/>
        <v>100</v>
      </c>
      <c r="AE26" s="23">
        <f t="shared" si="8"/>
        <v>100</v>
      </c>
      <c r="AF26" s="23">
        <f t="shared" si="8"/>
        <v>100</v>
      </c>
      <c r="AG26" s="23">
        <f t="shared" si="8"/>
        <v>2000</v>
      </c>
      <c r="AH26" s="23">
        <f t="shared" si="8"/>
        <v>1</v>
      </c>
      <c r="AI26" s="23">
        <f t="shared" si="8"/>
        <v>8</v>
      </c>
      <c r="AJ26" s="23">
        <f t="shared" si="8"/>
        <v>6</v>
      </c>
      <c r="AK26" s="23">
        <f t="shared" si="8"/>
        <v>150</v>
      </c>
      <c r="AL26" s="23">
        <f t="shared" si="8"/>
        <v>0</v>
      </c>
      <c r="AM26" s="23">
        <f t="shared" si="8"/>
        <v>0.5</v>
      </c>
      <c r="AN26" s="23">
        <f t="shared" si="8"/>
        <v>0</v>
      </c>
      <c r="AO26" s="23">
        <f t="shared" si="8"/>
        <v>0</v>
      </c>
    </row>
    <row r="27" spans="1:41" ht="15.6">
      <c r="C27" s="10" t="s">
        <v>97</v>
      </c>
      <c r="D27" s="9" t="s">
        <v>140</v>
      </c>
      <c r="E27" s="11" t="s">
        <v>141</v>
      </c>
      <c r="F27" s="23">
        <f>_xlfn.IFNA(VLOOKUP($D27,Dulieutho,F$2,FALSE),"")</f>
        <v>1620</v>
      </c>
      <c r="G27" s="23">
        <f t="shared" si="6"/>
        <v>192</v>
      </c>
      <c r="H27" s="23">
        <f t="shared" si="6"/>
        <v>130</v>
      </c>
      <c r="I27" s="23">
        <f t="shared" si="6"/>
        <v>216</v>
      </c>
      <c r="J27" s="23">
        <f t="shared" si="6"/>
        <v>630</v>
      </c>
      <c r="K27" s="23">
        <f t="shared" si="6"/>
        <v>720</v>
      </c>
      <c r="L27" s="23">
        <f t="shared" si="6"/>
        <v>140</v>
      </c>
      <c r="M27" s="23">
        <f t="shared" si="6"/>
        <v>3</v>
      </c>
      <c r="N27" s="23">
        <f t="shared" si="6"/>
        <v>0</v>
      </c>
      <c r="O27" s="23">
        <f t="shared" si="6"/>
        <v>1</v>
      </c>
      <c r="P27" s="23">
        <f t="shared" si="6"/>
        <v>25</v>
      </c>
      <c r="Q27" s="23">
        <f t="shared" si="7"/>
        <v>2</v>
      </c>
      <c r="R27" s="23">
        <f t="shared" si="7"/>
        <v>3</v>
      </c>
      <c r="S27" s="23">
        <f t="shared" si="7"/>
        <v>12</v>
      </c>
      <c r="T27" s="23">
        <f t="shared" si="7"/>
        <v>1</v>
      </c>
      <c r="U27" s="23">
        <f t="shared" si="7"/>
        <v>0</v>
      </c>
      <c r="V27" s="23">
        <f t="shared" si="7"/>
        <v>12</v>
      </c>
      <c r="W27" s="23">
        <f t="shared" si="7"/>
        <v>10</v>
      </c>
      <c r="X27" s="23">
        <f t="shared" si="7"/>
        <v>2</v>
      </c>
      <c r="Y27" s="23">
        <f t="shared" si="7"/>
        <v>0</v>
      </c>
      <c r="Z27" s="23">
        <f t="shared" si="7"/>
        <v>4</v>
      </c>
      <c r="AA27" s="23">
        <f t="shared" si="8"/>
        <v>500</v>
      </c>
      <c r="AB27" s="23">
        <f t="shared" si="8"/>
        <v>1200</v>
      </c>
      <c r="AC27" s="23">
        <f t="shared" si="8"/>
        <v>100</v>
      </c>
      <c r="AD27" s="23">
        <f t="shared" si="8"/>
        <v>0</v>
      </c>
      <c r="AE27" s="23">
        <f t="shared" si="8"/>
        <v>0</v>
      </c>
      <c r="AF27" s="23">
        <f t="shared" si="8"/>
        <v>0</v>
      </c>
      <c r="AG27" s="23">
        <f t="shared" si="8"/>
        <v>2000</v>
      </c>
      <c r="AH27" s="23">
        <f t="shared" si="8"/>
        <v>0</v>
      </c>
      <c r="AI27" s="23">
        <f t="shared" si="8"/>
        <v>8</v>
      </c>
      <c r="AJ27" s="23">
        <f t="shared" si="8"/>
        <v>9</v>
      </c>
      <c r="AK27" s="23">
        <f t="shared" si="8"/>
        <v>210</v>
      </c>
      <c r="AL27" s="23">
        <f t="shared" si="8"/>
        <v>180</v>
      </c>
      <c r="AM27" s="23">
        <f t="shared" si="8"/>
        <v>2</v>
      </c>
      <c r="AN27" s="23">
        <f t="shared" si="8"/>
        <v>0</v>
      </c>
      <c r="AO27" s="23">
        <f t="shared" si="8"/>
        <v>0</v>
      </c>
    </row>
    <row r="28" spans="1:41" ht="15.6">
      <c r="C28" s="10" t="s">
        <v>97</v>
      </c>
      <c r="D28" s="9" t="s">
        <v>142</v>
      </c>
      <c r="E28" s="11" t="s">
        <v>143</v>
      </c>
      <c r="F28" s="23">
        <f>_xlfn.IFNA(VLOOKUP($D28,Dulieutho,F$2,FALSE),"")</f>
        <v>688</v>
      </c>
      <c r="G28" s="23">
        <f t="shared" si="6"/>
        <v>116</v>
      </c>
      <c r="H28" s="23">
        <f t="shared" si="6"/>
        <v>100</v>
      </c>
      <c r="I28" s="23">
        <f t="shared" si="6"/>
        <v>240</v>
      </c>
      <c r="J28" s="23">
        <f t="shared" si="6"/>
        <v>270</v>
      </c>
      <c r="K28" s="23">
        <f t="shared" si="6"/>
        <v>600</v>
      </c>
      <c r="L28" s="23">
        <f t="shared" si="6"/>
        <v>130</v>
      </c>
      <c r="M28" s="23">
        <f t="shared" si="6"/>
        <v>3</v>
      </c>
      <c r="N28" s="23">
        <f t="shared" si="6"/>
        <v>1</v>
      </c>
      <c r="O28" s="23">
        <f t="shared" si="6"/>
        <v>1</v>
      </c>
      <c r="P28" s="23">
        <f t="shared" si="6"/>
        <v>25</v>
      </c>
      <c r="Q28" s="23">
        <f t="shared" si="7"/>
        <v>1</v>
      </c>
      <c r="R28" s="23">
        <f t="shared" si="7"/>
        <v>6</v>
      </c>
      <c r="S28" s="23">
        <f t="shared" si="7"/>
        <v>48</v>
      </c>
      <c r="T28" s="23">
        <f t="shared" si="7"/>
        <v>1</v>
      </c>
      <c r="U28" s="23">
        <f t="shared" si="7"/>
        <v>12</v>
      </c>
      <c r="V28" s="23">
        <f t="shared" si="7"/>
        <v>8</v>
      </c>
      <c r="W28" s="23">
        <f t="shared" si="7"/>
        <v>4</v>
      </c>
      <c r="X28" s="23">
        <f t="shared" si="7"/>
        <v>0</v>
      </c>
      <c r="Y28" s="23">
        <f t="shared" si="7"/>
        <v>2</v>
      </c>
      <c r="Z28" s="23">
        <f t="shared" si="7"/>
        <v>18</v>
      </c>
      <c r="AA28" s="23">
        <f t="shared" si="8"/>
        <v>0</v>
      </c>
      <c r="AB28" s="23">
        <f t="shared" si="8"/>
        <v>450</v>
      </c>
      <c r="AC28" s="23">
        <f t="shared" si="8"/>
        <v>100</v>
      </c>
      <c r="AD28" s="23">
        <f t="shared" si="8"/>
        <v>100</v>
      </c>
      <c r="AE28" s="23">
        <f t="shared" si="8"/>
        <v>0</v>
      </c>
      <c r="AF28" s="23">
        <f t="shared" si="8"/>
        <v>100</v>
      </c>
      <c r="AG28" s="23">
        <f t="shared" si="8"/>
        <v>1000</v>
      </c>
      <c r="AH28" s="23">
        <f t="shared" si="8"/>
        <v>0</v>
      </c>
      <c r="AI28" s="23">
        <f t="shared" si="8"/>
        <v>4</v>
      </c>
      <c r="AJ28" s="23">
        <f t="shared" si="8"/>
        <v>5</v>
      </c>
      <c r="AK28" s="23">
        <f t="shared" si="8"/>
        <v>30</v>
      </c>
      <c r="AL28" s="23">
        <f t="shared" si="8"/>
        <v>30</v>
      </c>
      <c r="AM28" s="23">
        <f t="shared" si="8"/>
        <v>2</v>
      </c>
      <c r="AN28" s="23">
        <f t="shared" si="8"/>
        <v>0</v>
      </c>
      <c r="AO28" s="23">
        <f t="shared" si="8"/>
        <v>0</v>
      </c>
    </row>
    <row r="29" spans="1:41" ht="15.6">
      <c r="C29" s="10" t="s">
        <v>97</v>
      </c>
      <c r="D29" s="9" t="s">
        <v>144</v>
      </c>
      <c r="E29" s="11" t="s">
        <v>145</v>
      </c>
      <c r="F29" s="23">
        <f>_xlfn.IFNA(VLOOKUP($D29,Dulieutho,F$2,FALSE),"")</f>
        <v>728</v>
      </c>
      <c r="G29" s="23">
        <f t="shared" si="6"/>
        <v>100</v>
      </c>
      <c r="H29" s="23">
        <f t="shared" si="6"/>
        <v>210</v>
      </c>
      <c r="I29" s="23">
        <f t="shared" si="6"/>
        <v>288</v>
      </c>
      <c r="J29" s="23">
        <f t="shared" si="6"/>
        <v>1440</v>
      </c>
      <c r="K29" s="23">
        <f t="shared" si="6"/>
        <v>1740</v>
      </c>
      <c r="L29" s="23">
        <f t="shared" si="6"/>
        <v>400</v>
      </c>
      <c r="M29" s="23">
        <f t="shared" si="6"/>
        <v>1</v>
      </c>
      <c r="N29" s="23">
        <f t="shared" si="6"/>
        <v>1</v>
      </c>
      <c r="O29" s="23">
        <f t="shared" si="6"/>
        <v>0.5</v>
      </c>
      <c r="P29" s="23">
        <f t="shared" si="6"/>
        <v>25</v>
      </c>
      <c r="Q29" s="23">
        <f t="shared" si="7"/>
        <v>1</v>
      </c>
      <c r="R29" s="23">
        <f t="shared" si="7"/>
        <v>4</v>
      </c>
      <c r="S29" s="23">
        <f t="shared" si="7"/>
        <v>60</v>
      </c>
      <c r="T29" s="23">
        <f t="shared" si="7"/>
        <v>3</v>
      </c>
      <c r="U29" s="23">
        <f t="shared" si="7"/>
        <v>24</v>
      </c>
      <c r="V29" s="23">
        <f t="shared" si="7"/>
        <v>8</v>
      </c>
      <c r="W29" s="23">
        <f t="shared" si="7"/>
        <v>6</v>
      </c>
      <c r="X29" s="23">
        <f t="shared" si="7"/>
        <v>0.5</v>
      </c>
      <c r="Y29" s="23">
        <f t="shared" si="7"/>
        <v>3</v>
      </c>
      <c r="Z29" s="23">
        <f t="shared" si="7"/>
        <v>96</v>
      </c>
      <c r="AA29" s="23">
        <f t="shared" si="8"/>
        <v>1000</v>
      </c>
      <c r="AB29" s="23">
        <f t="shared" si="8"/>
        <v>0</v>
      </c>
      <c r="AC29" s="23">
        <f t="shared" si="8"/>
        <v>0</v>
      </c>
      <c r="AD29" s="23">
        <f t="shared" si="8"/>
        <v>0</v>
      </c>
      <c r="AE29" s="23">
        <f t="shared" si="8"/>
        <v>200</v>
      </c>
      <c r="AF29" s="23">
        <f t="shared" si="8"/>
        <v>100</v>
      </c>
      <c r="AG29" s="23">
        <f t="shared" si="8"/>
        <v>1000</v>
      </c>
      <c r="AH29" s="23">
        <f t="shared" si="8"/>
        <v>1</v>
      </c>
      <c r="AI29" s="23">
        <f t="shared" si="8"/>
        <v>4</v>
      </c>
      <c r="AJ29" s="23">
        <f t="shared" si="8"/>
        <v>6</v>
      </c>
      <c r="AK29" s="23">
        <f t="shared" si="8"/>
        <v>360</v>
      </c>
      <c r="AL29" s="23">
        <f t="shared" si="8"/>
        <v>210</v>
      </c>
      <c r="AM29" s="23">
        <f t="shared" si="8"/>
        <v>2</v>
      </c>
      <c r="AN29" s="23">
        <f t="shared" si="8"/>
        <v>1</v>
      </c>
      <c r="AO29" s="23">
        <f t="shared" si="8"/>
        <v>0</v>
      </c>
    </row>
    <row r="30" spans="1:41" ht="15.6">
      <c r="C30" s="10" t="s">
        <v>97</v>
      </c>
      <c r="D30" s="9" t="s">
        <v>146</v>
      </c>
      <c r="E30" s="11" t="s">
        <v>147</v>
      </c>
      <c r="F30" s="23">
        <f>_xlfn.IFNA(VLOOKUP($D30,Dulieutho,F$2,FALSE),"")</f>
        <v>644</v>
      </c>
      <c r="G30" s="23">
        <f t="shared" si="6"/>
        <v>96</v>
      </c>
      <c r="H30" s="23">
        <f t="shared" si="6"/>
        <v>80</v>
      </c>
      <c r="I30" s="23">
        <f t="shared" si="6"/>
        <v>24</v>
      </c>
      <c r="J30" s="23">
        <f t="shared" si="6"/>
        <v>270</v>
      </c>
      <c r="K30" s="23">
        <f t="shared" si="6"/>
        <v>420</v>
      </c>
      <c r="L30" s="23">
        <f t="shared" si="6"/>
        <v>100</v>
      </c>
      <c r="M30" s="23">
        <f t="shared" si="6"/>
        <v>0</v>
      </c>
      <c r="N30" s="23">
        <f t="shared" si="6"/>
        <v>0</v>
      </c>
      <c r="O30" s="23">
        <f t="shared" si="6"/>
        <v>0</v>
      </c>
      <c r="P30" s="23">
        <f t="shared" si="6"/>
        <v>0</v>
      </c>
      <c r="Q30" s="23">
        <f t="shared" si="7"/>
        <v>1</v>
      </c>
      <c r="R30" s="23">
        <f t="shared" si="7"/>
        <v>5.5</v>
      </c>
      <c r="S30" s="23">
        <f t="shared" si="7"/>
        <v>36</v>
      </c>
      <c r="T30" s="23">
        <f t="shared" si="7"/>
        <v>1</v>
      </c>
      <c r="U30" s="23">
        <f t="shared" si="7"/>
        <v>0</v>
      </c>
      <c r="V30" s="23">
        <f t="shared" si="7"/>
        <v>6</v>
      </c>
      <c r="W30" s="23">
        <f t="shared" si="7"/>
        <v>4</v>
      </c>
      <c r="X30" s="23">
        <f t="shared" si="7"/>
        <v>0</v>
      </c>
      <c r="Y30" s="23">
        <f t="shared" si="7"/>
        <v>2</v>
      </c>
      <c r="Z30" s="23">
        <f t="shared" si="7"/>
        <v>10</v>
      </c>
      <c r="AA30" s="23">
        <f t="shared" si="8"/>
        <v>500</v>
      </c>
      <c r="AB30" s="23">
        <f t="shared" si="8"/>
        <v>300</v>
      </c>
      <c r="AC30" s="23">
        <f t="shared" si="8"/>
        <v>100</v>
      </c>
      <c r="AD30" s="23">
        <f t="shared" si="8"/>
        <v>0</v>
      </c>
      <c r="AE30" s="23">
        <f t="shared" si="8"/>
        <v>100</v>
      </c>
      <c r="AF30" s="23">
        <f t="shared" si="8"/>
        <v>100</v>
      </c>
      <c r="AG30" s="23">
        <f t="shared" si="8"/>
        <v>1000</v>
      </c>
      <c r="AH30" s="23">
        <f t="shared" si="8"/>
        <v>0</v>
      </c>
      <c r="AI30" s="23">
        <f t="shared" si="8"/>
        <v>4</v>
      </c>
      <c r="AJ30" s="23">
        <f t="shared" si="8"/>
        <v>2</v>
      </c>
      <c r="AK30" s="23">
        <f t="shared" si="8"/>
        <v>60</v>
      </c>
      <c r="AL30" s="23">
        <f t="shared" si="8"/>
        <v>0</v>
      </c>
      <c r="AM30" s="23">
        <f t="shared" si="8"/>
        <v>0</v>
      </c>
      <c r="AN30" s="23">
        <f t="shared" si="8"/>
        <v>0</v>
      </c>
      <c r="AO30" s="23">
        <f t="shared" si="8"/>
        <v>100</v>
      </c>
    </row>
    <row r="31" spans="1:41" ht="15.6">
      <c r="C31" s="10" t="s">
        <v>97</v>
      </c>
      <c r="D31" s="9" t="s">
        <v>148</v>
      </c>
      <c r="E31" s="11" t="s">
        <v>149</v>
      </c>
      <c r="F31" s="23">
        <f>_xlfn.IFNA(VLOOKUP($D31,Dulieutho,F$2,FALSE),"")</f>
        <v>1248</v>
      </c>
      <c r="G31" s="23">
        <f t="shared" si="6"/>
        <v>116</v>
      </c>
      <c r="H31" s="23">
        <f t="shared" si="6"/>
        <v>180</v>
      </c>
      <c r="I31" s="23">
        <f t="shared" si="6"/>
        <v>264</v>
      </c>
      <c r="J31" s="23">
        <f t="shared" si="6"/>
        <v>180</v>
      </c>
      <c r="K31" s="23">
        <f t="shared" si="6"/>
        <v>720</v>
      </c>
      <c r="L31" s="23">
        <f t="shared" si="6"/>
        <v>130</v>
      </c>
      <c r="M31" s="23">
        <f t="shared" si="6"/>
        <v>0</v>
      </c>
      <c r="N31" s="23">
        <f t="shared" si="6"/>
        <v>1</v>
      </c>
      <c r="O31" s="23">
        <f t="shared" si="6"/>
        <v>1</v>
      </c>
      <c r="P31" s="23">
        <f t="shared" si="6"/>
        <v>0</v>
      </c>
      <c r="Q31" s="23">
        <f t="shared" si="7"/>
        <v>0</v>
      </c>
      <c r="R31" s="23">
        <f t="shared" si="7"/>
        <v>0</v>
      </c>
      <c r="S31" s="23">
        <f t="shared" si="7"/>
        <v>72</v>
      </c>
      <c r="T31" s="23">
        <f t="shared" si="7"/>
        <v>0</v>
      </c>
      <c r="U31" s="23">
        <f t="shared" si="7"/>
        <v>0</v>
      </c>
      <c r="V31" s="23">
        <f t="shared" si="7"/>
        <v>10</v>
      </c>
      <c r="W31" s="23">
        <f t="shared" si="7"/>
        <v>4</v>
      </c>
      <c r="X31" s="23">
        <f t="shared" si="7"/>
        <v>1</v>
      </c>
      <c r="Y31" s="23">
        <f t="shared" si="7"/>
        <v>8</v>
      </c>
      <c r="Z31" s="23">
        <f t="shared" si="7"/>
        <v>22</v>
      </c>
      <c r="AA31" s="23">
        <f t="shared" si="8"/>
        <v>1000</v>
      </c>
      <c r="AB31" s="23">
        <f t="shared" si="8"/>
        <v>750</v>
      </c>
      <c r="AC31" s="23">
        <f t="shared" si="8"/>
        <v>0</v>
      </c>
      <c r="AD31" s="23">
        <f t="shared" si="8"/>
        <v>100</v>
      </c>
      <c r="AE31" s="23">
        <f t="shared" si="8"/>
        <v>400</v>
      </c>
      <c r="AF31" s="23">
        <f t="shared" si="8"/>
        <v>200</v>
      </c>
      <c r="AG31" s="23">
        <f t="shared" si="8"/>
        <v>3000</v>
      </c>
      <c r="AH31" s="23">
        <f t="shared" si="8"/>
        <v>1</v>
      </c>
      <c r="AI31" s="23">
        <f t="shared" si="8"/>
        <v>12</v>
      </c>
      <c r="AJ31" s="23">
        <f t="shared" si="8"/>
        <v>9</v>
      </c>
      <c r="AK31" s="23">
        <f t="shared" si="8"/>
        <v>30</v>
      </c>
      <c r="AL31" s="23">
        <f t="shared" si="8"/>
        <v>0</v>
      </c>
      <c r="AM31" s="23">
        <f t="shared" si="8"/>
        <v>0.5</v>
      </c>
      <c r="AN31" s="23">
        <f t="shared" si="8"/>
        <v>0</v>
      </c>
      <c r="AO31" s="23">
        <f t="shared" si="8"/>
        <v>0</v>
      </c>
    </row>
    <row r="32" spans="1:41" ht="15.6">
      <c r="C32" s="10" t="s">
        <v>97</v>
      </c>
      <c r="D32" s="9" t="s">
        <v>150</v>
      </c>
      <c r="E32" s="11" t="s">
        <v>151</v>
      </c>
      <c r="F32" s="23">
        <f>_xlfn.IFNA(VLOOKUP($D32,Dulieutho,F$2,FALSE),"")</f>
        <v>1288</v>
      </c>
      <c r="G32" s="23">
        <f t="shared" si="6"/>
        <v>244</v>
      </c>
      <c r="H32" s="23">
        <f t="shared" si="6"/>
        <v>290</v>
      </c>
      <c r="I32" s="23">
        <f t="shared" si="6"/>
        <v>48</v>
      </c>
      <c r="J32" s="23">
        <f t="shared" si="6"/>
        <v>180</v>
      </c>
      <c r="K32" s="23">
        <f t="shared" si="6"/>
        <v>1020</v>
      </c>
      <c r="L32" s="23">
        <f t="shared" si="6"/>
        <v>140</v>
      </c>
      <c r="M32" s="23">
        <f t="shared" si="6"/>
        <v>3</v>
      </c>
      <c r="N32" s="23">
        <f t="shared" si="6"/>
        <v>0</v>
      </c>
      <c r="O32" s="23">
        <f t="shared" si="6"/>
        <v>1.5</v>
      </c>
      <c r="P32" s="23">
        <f t="shared" si="6"/>
        <v>0</v>
      </c>
      <c r="Q32" s="23">
        <f t="shared" si="7"/>
        <v>0</v>
      </c>
      <c r="R32" s="23">
        <f t="shared" si="7"/>
        <v>0</v>
      </c>
      <c r="S32" s="23">
        <f t="shared" si="7"/>
        <v>48</v>
      </c>
      <c r="T32" s="23">
        <f t="shared" si="7"/>
        <v>0</v>
      </c>
      <c r="U32" s="23">
        <f t="shared" si="7"/>
        <v>0</v>
      </c>
      <c r="V32" s="23">
        <f t="shared" si="7"/>
        <v>14</v>
      </c>
      <c r="W32" s="23">
        <f t="shared" si="7"/>
        <v>2</v>
      </c>
      <c r="X32" s="23">
        <f t="shared" si="7"/>
        <v>1</v>
      </c>
      <c r="Y32" s="23">
        <f t="shared" si="7"/>
        <v>11</v>
      </c>
      <c r="Z32" s="23">
        <f t="shared" si="7"/>
        <v>36</v>
      </c>
      <c r="AA32" s="23">
        <f t="shared" si="8"/>
        <v>1000</v>
      </c>
      <c r="AB32" s="23">
        <f t="shared" si="8"/>
        <v>450</v>
      </c>
      <c r="AC32" s="23">
        <f t="shared" si="8"/>
        <v>0</v>
      </c>
      <c r="AD32" s="23">
        <f t="shared" si="8"/>
        <v>100</v>
      </c>
      <c r="AE32" s="23">
        <f t="shared" si="8"/>
        <v>400</v>
      </c>
      <c r="AF32" s="23">
        <f t="shared" si="8"/>
        <v>300</v>
      </c>
      <c r="AG32" s="23">
        <f t="shared" si="8"/>
        <v>3000</v>
      </c>
      <c r="AH32" s="23">
        <f t="shared" si="8"/>
        <v>1</v>
      </c>
      <c r="AI32" s="23">
        <f t="shared" si="8"/>
        <v>12</v>
      </c>
      <c r="AJ32" s="23">
        <f t="shared" si="8"/>
        <v>3</v>
      </c>
      <c r="AK32" s="23">
        <f t="shared" si="8"/>
        <v>90</v>
      </c>
      <c r="AL32" s="23">
        <f t="shared" si="8"/>
        <v>0</v>
      </c>
      <c r="AM32" s="23">
        <f t="shared" si="8"/>
        <v>1</v>
      </c>
      <c r="AN32" s="23">
        <f t="shared" si="8"/>
        <v>0</v>
      </c>
      <c r="AO32" s="23">
        <f t="shared" si="8"/>
        <v>0</v>
      </c>
    </row>
    <row r="33" spans="3:41" ht="15.6">
      <c r="C33" s="10" t="s">
        <v>97</v>
      </c>
      <c r="D33" s="9" t="s">
        <v>152</v>
      </c>
      <c r="E33" s="11" t="s">
        <v>153</v>
      </c>
      <c r="F33" s="23">
        <f>_xlfn.IFNA(VLOOKUP($D33,Dulieutho,F$2,FALSE),"")</f>
        <v>980</v>
      </c>
      <c r="G33" s="23">
        <f t="shared" si="6"/>
        <v>60</v>
      </c>
      <c r="H33" s="23">
        <f t="shared" si="6"/>
        <v>50</v>
      </c>
      <c r="I33" s="23">
        <f t="shared" si="6"/>
        <v>0</v>
      </c>
      <c r="J33" s="23">
        <f t="shared" si="6"/>
        <v>270</v>
      </c>
      <c r="K33" s="23">
        <f t="shared" si="6"/>
        <v>780</v>
      </c>
      <c r="L33" s="23">
        <f t="shared" si="6"/>
        <v>50</v>
      </c>
      <c r="M33" s="23">
        <f t="shared" si="6"/>
        <v>0</v>
      </c>
      <c r="N33" s="23">
        <f t="shared" si="6"/>
        <v>0</v>
      </c>
      <c r="O33" s="23">
        <f t="shared" si="6"/>
        <v>0</v>
      </c>
      <c r="P33" s="23">
        <f t="shared" si="6"/>
        <v>25</v>
      </c>
      <c r="Q33" s="23">
        <f t="shared" si="7"/>
        <v>1</v>
      </c>
      <c r="R33" s="23">
        <f t="shared" si="7"/>
        <v>0</v>
      </c>
      <c r="S33" s="23">
        <f t="shared" si="7"/>
        <v>84</v>
      </c>
      <c r="T33" s="23">
        <f t="shared" si="7"/>
        <v>0</v>
      </c>
      <c r="U33" s="23">
        <f t="shared" si="7"/>
        <v>12</v>
      </c>
      <c r="V33" s="23">
        <f t="shared" si="7"/>
        <v>8</v>
      </c>
      <c r="W33" s="23">
        <f t="shared" si="7"/>
        <v>3</v>
      </c>
      <c r="X33" s="23">
        <f t="shared" si="7"/>
        <v>0</v>
      </c>
      <c r="Y33" s="23">
        <f t="shared" si="7"/>
        <v>1</v>
      </c>
      <c r="Z33" s="23">
        <f t="shared" si="7"/>
        <v>14</v>
      </c>
      <c r="AA33" s="23">
        <f t="shared" si="8"/>
        <v>0</v>
      </c>
      <c r="AB33" s="23">
        <f t="shared" si="8"/>
        <v>750</v>
      </c>
      <c r="AC33" s="23">
        <f t="shared" si="8"/>
        <v>0</v>
      </c>
      <c r="AD33" s="23">
        <f t="shared" si="8"/>
        <v>0</v>
      </c>
      <c r="AE33" s="23">
        <f t="shared" si="8"/>
        <v>0</v>
      </c>
      <c r="AF33" s="23">
        <f t="shared" si="8"/>
        <v>100</v>
      </c>
      <c r="AG33" s="23">
        <f t="shared" si="8"/>
        <v>1000</v>
      </c>
      <c r="AH33" s="23">
        <f t="shared" si="8"/>
        <v>0</v>
      </c>
      <c r="AI33" s="23">
        <f t="shared" si="8"/>
        <v>4</v>
      </c>
      <c r="AJ33" s="23">
        <f t="shared" si="8"/>
        <v>4</v>
      </c>
      <c r="AK33" s="23">
        <f t="shared" si="8"/>
        <v>90</v>
      </c>
      <c r="AL33" s="23">
        <f t="shared" si="8"/>
        <v>0</v>
      </c>
      <c r="AM33" s="23">
        <f t="shared" si="8"/>
        <v>0.5</v>
      </c>
      <c r="AN33" s="23">
        <f t="shared" si="8"/>
        <v>1</v>
      </c>
      <c r="AO33" s="23">
        <f t="shared" si="8"/>
        <v>100</v>
      </c>
    </row>
    <row r="34" spans="3:41" ht="15.6">
      <c r="C34" s="10" t="s">
        <v>97</v>
      </c>
      <c r="D34" s="9" t="s">
        <v>154</v>
      </c>
      <c r="E34" s="11" t="s">
        <v>155</v>
      </c>
      <c r="F34" s="23">
        <f>_xlfn.IFNA(VLOOKUP($D34,Dulieutho,F$2,FALSE),"")</f>
        <v>1080</v>
      </c>
      <c r="G34" s="23">
        <f t="shared" si="6"/>
        <v>180</v>
      </c>
      <c r="H34" s="23">
        <f t="shared" si="6"/>
        <v>790</v>
      </c>
      <c r="I34" s="23">
        <f t="shared" si="6"/>
        <v>480</v>
      </c>
      <c r="J34" s="23">
        <f t="shared" si="6"/>
        <v>540</v>
      </c>
      <c r="K34" s="23">
        <f t="shared" si="6"/>
        <v>1020</v>
      </c>
      <c r="L34" s="23">
        <f t="shared" si="6"/>
        <v>180</v>
      </c>
      <c r="M34" s="23">
        <f t="shared" si="6"/>
        <v>2</v>
      </c>
      <c r="N34" s="23">
        <f t="shared" si="6"/>
        <v>1</v>
      </c>
      <c r="O34" s="23">
        <f t="shared" si="6"/>
        <v>2</v>
      </c>
      <c r="P34" s="23">
        <f t="shared" si="6"/>
        <v>25</v>
      </c>
      <c r="Q34" s="23">
        <f t="shared" si="7"/>
        <v>4</v>
      </c>
      <c r="R34" s="23">
        <f t="shared" si="7"/>
        <v>15</v>
      </c>
      <c r="S34" s="23">
        <f t="shared" si="7"/>
        <v>72</v>
      </c>
      <c r="T34" s="23">
        <f t="shared" si="7"/>
        <v>4</v>
      </c>
      <c r="U34" s="23">
        <f t="shared" si="7"/>
        <v>24</v>
      </c>
      <c r="V34" s="23">
        <f t="shared" si="7"/>
        <v>18</v>
      </c>
      <c r="W34" s="23">
        <f t="shared" si="7"/>
        <v>13</v>
      </c>
      <c r="X34" s="23">
        <f t="shared" si="7"/>
        <v>0</v>
      </c>
      <c r="Y34" s="23">
        <f t="shared" si="7"/>
        <v>4</v>
      </c>
      <c r="Z34" s="23">
        <f t="shared" si="7"/>
        <v>18</v>
      </c>
      <c r="AA34" s="23">
        <f t="shared" si="8"/>
        <v>500</v>
      </c>
      <c r="AB34" s="23">
        <f t="shared" si="8"/>
        <v>750</v>
      </c>
      <c r="AC34" s="23">
        <f t="shared" si="8"/>
        <v>400</v>
      </c>
      <c r="AD34" s="23">
        <f t="shared" si="8"/>
        <v>300</v>
      </c>
      <c r="AE34" s="23">
        <f t="shared" si="8"/>
        <v>300</v>
      </c>
      <c r="AF34" s="23">
        <f t="shared" si="8"/>
        <v>200</v>
      </c>
      <c r="AG34" s="23">
        <f t="shared" si="8"/>
        <v>2000</v>
      </c>
      <c r="AH34" s="23">
        <f t="shared" si="8"/>
        <v>1</v>
      </c>
      <c r="AI34" s="23">
        <f t="shared" si="8"/>
        <v>8</v>
      </c>
      <c r="AJ34" s="23">
        <f t="shared" si="8"/>
        <v>6</v>
      </c>
      <c r="AK34" s="23">
        <f t="shared" si="8"/>
        <v>150</v>
      </c>
      <c r="AL34" s="23">
        <f t="shared" si="8"/>
        <v>30</v>
      </c>
      <c r="AM34" s="23">
        <f t="shared" si="8"/>
        <v>1</v>
      </c>
      <c r="AN34" s="23">
        <f t="shared" si="8"/>
        <v>0</v>
      </c>
      <c r="AO34" s="23">
        <f t="shared" si="8"/>
        <v>0</v>
      </c>
    </row>
    <row r="35" spans="3:41" ht="15.6">
      <c r="C35" s="10" t="s">
        <v>97</v>
      </c>
      <c r="D35" s="9" t="s">
        <v>156</v>
      </c>
      <c r="E35" s="11" t="s">
        <v>157</v>
      </c>
      <c r="F35" s="23">
        <f>_xlfn.IFNA(VLOOKUP($D35,Dulieutho,F$2,FALSE),"")</f>
        <v>208</v>
      </c>
      <c r="G35" s="23">
        <f t="shared" ref="G35:P44" si="9">_xlfn.IFNA(VLOOKUP($D35,Dulieutho,G$2,FALSE),"")</f>
        <v>36</v>
      </c>
      <c r="H35" s="23">
        <f t="shared" si="9"/>
        <v>70</v>
      </c>
      <c r="I35" s="23">
        <f t="shared" si="9"/>
        <v>96</v>
      </c>
      <c r="J35" s="23">
        <f t="shared" si="9"/>
        <v>180</v>
      </c>
      <c r="K35" s="23">
        <f t="shared" si="9"/>
        <v>180</v>
      </c>
      <c r="L35" s="23">
        <f t="shared" si="9"/>
        <v>30</v>
      </c>
      <c r="M35" s="23">
        <f t="shared" si="9"/>
        <v>0</v>
      </c>
      <c r="N35" s="23">
        <f t="shared" si="9"/>
        <v>0</v>
      </c>
      <c r="O35" s="23">
        <f t="shared" si="9"/>
        <v>0</v>
      </c>
      <c r="P35" s="23">
        <f t="shared" si="9"/>
        <v>0</v>
      </c>
      <c r="Q35" s="23">
        <f t="shared" ref="Q35:Z44" si="10">_xlfn.IFNA(VLOOKUP($D35,Dulieutho,Q$2,FALSE),"")</f>
        <v>0</v>
      </c>
      <c r="R35" s="23">
        <f t="shared" si="10"/>
        <v>2</v>
      </c>
      <c r="S35" s="23">
        <f t="shared" si="10"/>
        <v>12</v>
      </c>
      <c r="T35" s="23">
        <f t="shared" si="10"/>
        <v>1</v>
      </c>
      <c r="U35" s="23">
        <f t="shared" si="10"/>
        <v>0</v>
      </c>
      <c r="V35" s="23">
        <f t="shared" si="10"/>
        <v>2</v>
      </c>
      <c r="W35" s="23">
        <f t="shared" si="10"/>
        <v>0</v>
      </c>
      <c r="X35" s="23">
        <f t="shared" si="10"/>
        <v>0</v>
      </c>
      <c r="Y35" s="23">
        <f t="shared" si="10"/>
        <v>2</v>
      </c>
      <c r="Z35" s="23">
        <f t="shared" si="10"/>
        <v>0</v>
      </c>
      <c r="AA35" s="23">
        <f t="shared" ref="AA35:AO44" si="11">_xlfn.IFNA(VLOOKUP($D35,Dulieutho,AA$2,FALSE),"")</f>
        <v>500</v>
      </c>
      <c r="AB35" s="23">
        <f t="shared" si="11"/>
        <v>0</v>
      </c>
      <c r="AC35" s="23">
        <f t="shared" si="11"/>
        <v>0</v>
      </c>
      <c r="AD35" s="23">
        <f t="shared" si="11"/>
        <v>0</v>
      </c>
      <c r="AE35" s="23">
        <f t="shared" si="11"/>
        <v>0</v>
      </c>
      <c r="AF35" s="23">
        <f t="shared" si="11"/>
        <v>0</v>
      </c>
      <c r="AG35" s="23">
        <f t="shared" si="11"/>
        <v>0</v>
      </c>
      <c r="AH35" s="23">
        <f t="shared" si="11"/>
        <v>0</v>
      </c>
      <c r="AI35" s="23">
        <f t="shared" si="11"/>
        <v>0</v>
      </c>
      <c r="AJ35" s="23">
        <f t="shared" si="11"/>
        <v>1</v>
      </c>
      <c r="AK35" s="23">
        <f t="shared" si="11"/>
        <v>60</v>
      </c>
      <c r="AL35" s="23">
        <f t="shared" si="11"/>
        <v>0</v>
      </c>
      <c r="AM35" s="23">
        <f t="shared" si="11"/>
        <v>0.5</v>
      </c>
      <c r="AN35" s="23">
        <f t="shared" si="11"/>
        <v>0</v>
      </c>
      <c r="AO35" s="23">
        <f t="shared" si="11"/>
        <v>0</v>
      </c>
    </row>
    <row r="36" spans="3:41" ht="15.6">
      <c r="C36" s="10" t="s">
        <v>93</v>
      </c>
      <c r="D36" s="9" t="s">
        <v>158</v>
      </c>
      <c r="E36" s="11" t="s">
        <v>159</v>
      </c>
      <c r="F36" s="23">
        <f>_xlfn.IFNA(VLOOKUP($D36,Dulieutho,F$2,FALSE),"")</f>
        <v>1956</v>
      </c>
      <c r="G36" s="23">
        <f t="shared" si="9"/>
        <v>368</v>
      </c>
      <c r="H36" s="23">
        <f t="shared" si="9"/>
        <v>350</v>
      </c>
      <c r="I36" s="23">
        <f t="shared" si="9"/>
        <v>624</v>
      </c>
      <c r="J36" s="23">
        <f t="shared" si="9"/>
        <v>630</v>
      </c>
      <c r="K36" s="23">
        <f t="shared" si="9"/>
        <v>1680</v>
      </c>
      <c r="L36" s="23">
        <f t="shared" si="9"/>
        <v>330</v>
      </c>
      <c r="M36" s="23">
        <f t="shared" si="9"/>
        <v>5</v>
      </c>
      <c r="N36" s="23">
        <f t="shared" si="9"/>
        <v>2</v>
      </c>
      <c r="O36" s="23">
        <f t="shared" si="9"/>
        <v>3</v>
      </c>
      <c r="P36" s="23">
        <f t="shared" si="9"/>
        <v>25</v>
      </c>
      <c r="Q36" s="23">
        <f t="shared" si="10"/>
        <v>5</v>
      </c>
      <c r="R36" s="23">
        <f t="shared" si="10"/>
        <v>2</v>
      </c>
      <c r="S36" s="23">
        <f t="shared" si="10"/>
        <v>60</v>
      </c>
      <c r="T36" s="23">
        <f t="shared" si="10"/>
        <v>3</v>
      </c>
      <c r="U36" s="23">
        <f t="shared" si="10"/>
        <v>48</v>
      </c>
      <c r="V36" s="23">
        <f t="shared" si="10"/>
        <v>18</v>
      </c>
      <c r="W36" s="23">
        <f t="shared" si="10"/>
        <v>6</v>
      </c>
      <c r="X36" s="23">
        <f t="shared" si="10"/>
        <v>1</v>
      </c>
      <c r="Y36" s="23">
        <f t="shared" si="10"/>
        <v>0</v>
      </c>
      <c r="Z36" s="23">
        <f t="shared" si="10"/>
        <v>16</v>
      </c>
      <c r="AA36" s="23">
        <f t="shared" si="11"/>
        <v>500</v>
      </c>
      <c r="AB36" s="23">
        <f t="shared" si="11"/>
        <v>1200</v>
      </c>
      <c r="AC36" s="23">
        <f t="shared" si="11"/>
        <v>0</v>
      </c>
      <c r="AD36" s="23">
        <f t="shared" si="11"/>
        <v>300</v>
      </c>
      <c r="AE36" s="23">
        <f t="shared" si="11"/>
        <v>300</v>
      </c>
      <c r="AF36" s="23">
        <f t="shared" si="11"/>
        <v>300</v>
      </c>
      <c r="AG36" s="23">
        <f t="shared" si="11"/>
        <v>3000</v>
      </c>
      <c r="AH36" s="23">
        <f t="shared" si="11"/>
        <v>1</v>
      </c>
      <c r="AI36" s="23">
        <f t="shared" si="11"/>
        <v>12</v>
      </c>
      <c r="AJ36" s="23">
        <f t="shared" si="11"/>
        <v>14</v>
      </c>
      <c r="AK36" s="23">
        <f t="shared" si="11"/>
        <v>150</v>
      </c>
      <c r="AL36" s="23">
        <f t="shared" si="11"/>
        <v>0</v>
      </c>
      <c r="AM36" s="23">
        <f t="shared" si="11"/>
        <v>3</v>
      </c>
      <c r="AN36" s="23">
        <f t="shared" si="11"/>
        <v>0</v>
      </c>
      <c r="AO36" s="23">
        <f t="shared" si="11"/>
        <v>0</v>
      </c>
    </row>
    <row r="37" spans="3:41" ht="15.6">
      <c r="C37" s="10" t="s">
        <v>93</v>
      </c>
      <c r="D37" s="9" t="s">
        <v>160</v>
      </c>
      <c r="E37" s="11" t="s">
        <v>161</v>
      </c>
      <c r="F37" s="23">
        <f>_xlfn.IFNA(VLOOKUP($D37,Dulieutho,F$2,FALSE),"")</f>
        <v>2152</v>
      </c>
      <c r="G37" s="23">
        <f t="shared" si="9"/>
        <v>380</v>
      </c>
      <c r="H37" s="23">
        <f t="shared" si="9"/>
        <v>130</v>
      </c>
      <c r="I37" s="23">
        <f t="shared" si="9"/>
        <v>192</v>
      </c>
      <c r="J37" s="23">
        <f t="shared" si="9"/>
        <v>630</v>
      </c>
      <c r="K37" s="23">
        <f t="shared" si="9"/>
        <v>1740</v>
      </c>
      <c r="L37" s="23">
        <f t="shared" si="9"/>
        <v>360</v>
      </c>
      <c r="M37" s="23">
        <f t="shared" si="9"/>
        <v>1</v>
      </c>
      <c r="N37" s="23">
        <f t="shared" si="9"/>
        <v>1</v>
      </c>
      <c r="O37" s="23">
        <f t="shared" si="9"/>
        <v>1.5</v>
      </c>
      <c r="P37" s="23">
        <f t="shared" si="9"/>
        <v>25</v>
      </c>
      <c r="Q37" s="23">
        <f t="shared" si="10"/>
        <v>3</v>
      </c>
      <c r="R37" s="23">
        <f t="shared" si="10"/>
        <v>16</v>
      </c>
      <c r="S37" s="23">
        <f t="shared" si="10"/>
        <v>108</v>
      </c>
      <c r="T37" s="23">
        <f t="shared" si="10"/>
        <v>0</v>
      </c>
      <c r="U37" s="23">
        <f t="shared" si="10"/>
        <v>24</v>
      </c>
      <c r="V37" s="23">
        <f t="shared" si="10"/>
        <v>18</v>
      </c>
      <c r="W37" s="23">
        <f t="shared" si="10"/>
        <v>6</v>
      </c>
      <c r="X37" s="23">
        <f t="shared" si="10"/>
        <v>0</v>
      </c>
      <c r="Y37" s="23">
        <f t="shared" si="10"/>
        <v>1</v>
      </c>
      <c r="Z37" s="23">
        <f t="shared" si="10"/>
        <v>32</v>
      </c>
      <c r="AA37" s="23">
        <f t="shared" si="11"/>
        <v>500</v>
      </c>
      <c r="AB37" s="23">
        <f t="shared" si="11"/>
        <v>1650</v>
      </c>
      <c r="AC37" s="23">
        <f t="shared" si="11"/>
        <v>100</v>
      </c>
      <c r="AD37" s="23">
        <f t="shared" si="11"/>
        <v>0</v>
      </c>
      <c r="AE37" s="23">
        <f t="shared" si="11"/>
        <v>0</v>
      </c>
      <c r="AF37" s="23">
        <f t="shared" si="11"/>
        <v>400</v>
      </c>
      <c r="AG37" s="23">
        <f t="shared" si="11"/>
        <v>2000</v>
      </c>
      <c r="AH37" s="23">
        <f t="shared" si="11"/>
        <v>2</v>
      </c>
      <c r="AI37" s="23">
        <f t="shared" si="11"/>
        <v>8</v>
      </c>
      <c r="AJ37" s="23">
        <f t="shared" si="11"/>
        <v>14</v>
      </c>
      <c r="AK37" s="23">
        <f t="shared" si="11"/>
        <v>120</v>
      </c>
      <c r="AL37" s="23">
        <f t="shared" si="11"/>
        <v>0</v>
      </c>
      <c r="AM37" s="23">
        <f t="shared" si="11"/>
        <v>0.5</v>
      </c>
      <c r="AN37" s="23">
        <f t="shared" si="11"/>
        <v>0</v>
      </c>
      <c r="AO37" s="23">
        <f t="shared" si="11"/>
        <v>0</v>
      </c>
    </row>
    <row r="38" spans="3:41" ht="15.6">
      <c r="C38" s="10" t="s">
        <v>93</v>
      </c>
      <c r="D38" s="9" t="s">
        <v>162</v>
      </c>
      <c r="E38" s="11" t="s">
        <v>163</v>
      </c>
      <c r="F38" s="23">
        <f>_xlfn.IFNA(VLOOKUP($D38,Dulieutho,F$2,FALSE),"")</f>
        <v>464</v>
      </c>
      <c r="G38" s="23">
        <f t="shared" si="9"/>
        <v>60</v>
      </c>
      <c r="H38" s="23">
        <f t="shared" si="9"/>
        <v>140</v>
      </c>
      <c r="I38" s="23">
        <f t="shared" si="9"/>
        <v>144</v>
      </c>
      <c r="J38" s="23">
        <f t="shared" si="9"/>
        <v>270</v>
      </c>
      <c r="K38" s="23">
        <f t="shared" si="9"/>
        <v>300</v>
      </c>
      <c r="L38" s="23">
        <f t="shared" si="9"/>
        <v>50</v>
      </c>
      <c r="M38" s="23">
        <f t="shared" si="9"/>
        <v>0</v>
      </c>
      <c r="N38" s="23">
        <f t="shared" si="9"/>
        <v>0</v>
      </c>
      <c r="O38" s="23">
        <f t="shared" si="9"/>
        <v>0.5</v>
      </c>
      <c r="P38" s="23">
        <f t="shared" si="9"/>
        <v>0</v>
      </c>
      <c r="Q38" s="23">
        <f t="shared" si="10"/>
        <v>1</v>
      </c>
      <c r="R38" s="23">
        <f t="shared" si="10"/>
        <v>5</v>
      </c>
      <c r="S38" s="23">
        <f t="shared" si="10"/>
        <v>36</v>
      </c>
      <c r="T38" s="23">
        <f t="shared" si="10"/>
        <v>2</v>
      </c>
      <c r="U38" s="23">
        <f t="shared" si="10"/>
        <v>0</v>
      </c>
      <c r="V38" s="23">
        <f t="shared" si="10"/>
        <v>8</v>
      </c>
      <c r="W38" s="23">
        <f t="shared" si="10"/>
        <v>3</v>
      </c>
      <c r="X38" s="23">
        <f t="shared" si="10"/>
        <v>0</v>
      </c>
      <c r="Y38" s="23">
        <f t="shared" si="10"/>
        <v>3</v>
      </c>
      <c r="Z38" s="23">
        <f t="shared" si="10"/>
        <v>12</v>
      </c>
      <c r="AA38" s="23">
        <f t="shared" si="11"/>
        <v>0</v>
      </c>
      <c r="AB38" s="23">
        <f t="shared" si="11"/>
        <v>300</v>
      </c>
      <c r="AC38" s="23">
        <f t="shared" si="11"/>
        <v>0</v>
      </c>
      <c r="AD38" s="23">
        <f t="shared" si="11"/>
        <v>0</v>
      </c>
      <c r="AE38" s="23">
        <f t="shared" si="11"/>
        <v>0</v>
      </c>
      <c r="AF38" s="23">
        <f t="shared" si="11"/>
        <v>0</v>
      </c>
      <c r="AG38" s="23">
        <f t="shared" si="11"/>
        <v>0</v>
      </c>
      <c r="AH38" s="23">
        <f t="shared" si="11"/>
        <v>0</v>
      </c>
      <c r="AI38" s="23">
        <f t="shared" si="11"/>
        <v>0</v>
      </c>
      <c r="AJ38" s="23">
        <f t="shared" si="11"/>
        <v>3</v>
      </c>
      <c r="AK38" s="23">
        <f t="shared" si="11"/>
        <v>60</v>
      </c>
      <c r="AL38" s="23">
        <f t="shared" si="11"/>
        <v>0</v>
      </c>
      <c r="AM38" s="23">
        <f t="shared" si="11"/>
        <v>0</v>
      </c>
      <c r="AN38" s="23">
        <f t="shared" si="11"/>
        <v>0</v>
      </c>
      <c r="AO38" s="23">
        <f t="shared" si="11"/>
        <v>0</v>
      </c>
    </row>
    <row r="39" spans="3:41" ht="15.6">
      <c r="C39" s="10" t="s">
        <v>93</v>
      </c>
      <c r="D39" s="9" t="s">
        <v>164</v>
      </c>
      <c r="E39" s="11" t="s">
        <v>165</v>
      </c>
      <c r="F39" s="23">
        <f>_xlfn.IFNA(VLOOKUP($D39,Dulieutho,F$2,FALSE),"")</f>
        <v>1436</v>
      </c>
      <c r="G39" s="23">
        <f t="shared" si="9"/>
        <v>176</v>
      </c>
      <c r="H39" s="23">
        <f t="shared" si="9"/>
        <v>410</v>
      </c>
      <c r="I39" s="23">
        <f t="shared" si="9"/>
        <v>360</v>
      </c>
      <c r="J39" s="23">
        <f t="shared" si="9"/>
        <v>540</v>
      </c>
      <c r="K39" s="23">
        <f t="shared" si="9"/>
        <v>1140</v>
      </c>
      <c r="L39" s="23">
        <f t="shared" si="9"/>
        <v>180</v>
      </c>
      <c r="M39" s="23">
        <f t="shared" si="9"/>
        <v>2</v>
      </c>
      <c r="N39" s="23">
        <f t="shared" si="9"/>
        <v>2</v>
      </c>
      <c r="O39" s="23">
        <f t="shared" si="9"/>
        <v>1</v>
      </c>
      <c r="P39" s="23">
        <f t="shared" si="9"/>
        <v>25</v>
      </c>
      <c r="Q39" s="23">
        <f t="shared" si="10"/>
        <v>3</v>
      </c>
      <c r="R39" s="23">
        <f t="shared" si="10"/>
        <v>12</v>
      </c>
      <c r="S39" s="23">
        <f t="shared" si="10"/>
        <v>72</v>
      </c>
      <c r="T39" s="23">
        <f t="shared" si="10"/>
        <v>0</v>
      </c>
      <c r="U39" s="23">
        <f t="shared" si="10"/>
        <v>12</v>
      </c>
      <c r="V39" s="23">
        <f t="shared" si="10"/>
        <v>18</v>
      </c>
      <c r="W39" s="23">
        <f t="shared" si="10"/>
        <v>6</v>
      </c>
      <c r="X39" s="23">
        <f t="shared" si="10"/>
        <v>0</v>
      </c>
      <c r="Y39" s="23">
        <f t="shared" si="10"/>
        <v>2</v>
      </c>
      <c r="Z39" s="23">
        <f t="shared" si="10"/>
        <v>12</v>
      </c>
      <c r="AA39" s="23">
        <f t="shared" si="11"/>
        <v>500</v>
      </c>
      <c r="AB39" s="23">
        <f t="shared" si="11"/>
        <v>1050</v>
      </c>
      <c r="AC39" s="23">
        <f t="shared" si="11"/>
        <v>300</v>
      </c>
      <c r="AD39" s="23">
        <f t="shared" si="11"/>
        <v>200</v>
      </c>
      <c r="AE39" s="23">
        <f t="shared" si="11"/>
        <v>200</v>
      </c>
      <c r="AF39" s="23">
        <f t="shared" si="11"/>
        <v>200</v>
      </c>
      <c r="AG39" s="23">
        <f t="shared" si="11"/>
        <v>2000</v>
      </c>
      <c r="AH39" s="23">
        <f t="shared" si="11"/>
        <v>1</v>
      </c>
      <c r="AI39" s="23">
        <f t="shared" si="11"/>
        <v>8</v>
      </c>
      <c r="AJ39" s="23">
        <f t="shared" si="11"/>
        <v>10</v>
      </c>
      <c r="AK39" s="23">
        <f t="shared" si="11"/>
        <v>210</v>
      </c>
      <c r="AL39" s="23">
        <f t="shared" si="11"/>
        <v>0</v>
      </c>
      <c r="AM39" s="23">
        <f t="shared" si="11"/>
        <v>0</v>
      </c>
      <c r="AN39" s="23">
        <f t="shared" si="11"/>
        <v>0</v>
      </c>
      <c r="AO39" s="23">
        <f t="shared" si="11"/>
        <v>0</v>
      </c>
    </row>
    <row r="40" spans="3:41" ht="15.6">
      <c r="C40" s="10" t="s">
        <v>93</v>
      </c>
      <c r="D40" s="9" t="s">
        <v>166</v>
      </c>
      <c r="E40" s="11" t="s">
        <v>167</v>
      </c>
      <c r="F40" s="23">
        <f>_xlfn.IFNA(VLOOKUP($D40,Dulieutho,F$2,FALSE),"")</f>
        <v>1764</v>
      </c>
      <c r="G40" s="23">
        <f t="shared" si="9"/>
        <v>352</v>
      </c>
      <c r="H40" s="23">
        <f t="shared" si="9"/>
        <v>330</v>
      </c>
      <c r="I40" s="23">
        <f t="shared" si="9"/>
        <v>288</v>
      </c>
      <c r="J40" s="23">
        <f t="shared" si="9"/>
        <v>540</v>
      </c>
      <c r="K40" s="23">
        <f t="shared" si="9"/>
        <v>1380</v>
      </c>
      <c r="L40" s="23">
        <f t="shared" si="9"/>
        <v>290</v>
      </c>
      <c r="M40" s="23">
        <f t="shared" si="9"/>
        <v>0</v>
      </c>
      <c r="N40" s="23">
        <f t="shared" si="9"/>
        <v>1</v>
      </c>
      <c r="O40" s="23">
        <f t="shared" si="9"/>
        <v>0.5</v>
      </c>
      <c r="P40" s="23">
        <f t="shared" si="9"/>
        <v>25</v>
      </c>
      <c r="Q40" s="23">
        <f t="shared" si="10"/>
        <v>3</v>
      </c>
      <c r="R40" s="23">
        <f t="shared" si="10"/>
        <v>14</v>
      </c>
      <c r="S40" s="23">
        <f t="shared" si="10"/>
        <v>72</v>
      </c>
      <c r="T40" s="23">
        <f t="shared" si="10"/>
        <v>5</v>
      </c>
      <c r="U40" s="23">
        <f t="shared" si="10"/>
        <v>24</v>
      </c>
      <c r="V40" s="23">
        <f t="shared" si="10"/>
        <v>28</v>
      </c>
      <c r="W40" s="23">
        <f t="shared" si="10"/>
        <v>11</v>
      </c>
      <c r="X40" s="23">
        <f t="shared" si="10"/>
        <v>1</v>
      </c>
      <c r="Y40" s="23">
        <f t="shared" si="10"/>
        <v>6</v>
      </c>
      <c r="Z40" s="23">
        <f t="shared" si="10"/>
        <v>28</v>
      </c>
      <c r="AA40" s="23">
        <f t="shared" si="11"/>
        <v>500</v>
      </c>
      <c r="AB40" s="23">
        <f t="shared" si="11"/>
        <v>1350</v>
      </c>
      <c r="AC40" s="23">
        <f t="shared" si="11"/>
        <v>300</v>
      </c>
      <c r="AD40" s="23">
        <f t="shared" si="11"/>
        <v>100</v>
      </c>
      <c r="AE40" s="23">
        <f t="shared" si="11"/>
        <v>0</v>
      </c>
      <c r="AF40" s="23">
        <f t="shared" si="11"/>
        <v>400</v>
      </c>
      <c r="AG40" s="23">
        <f t="shared" si="11"/>
        <v>2000</v>
      </c>
      <c r="AH40" s="23">
        <f t="shared" si="11"/>
        <v>1</v>
      </c>
      <c r="AI40" s="23">
        <f t="shared" si="11"/>
        <v>8</v>
      </c>
      <c r="AJ40" s="23">
        <f t="shared" si="11"/>
        <v>10</v>
      </c>
      <c r="AK40" s="23">
        <f t="shared" si="11"/>
        <v>240</v>
      </c>
      <c r="AL40" s="23">
        <f t="shared" si="11"/>
        <v>90</v>
      </c>
      <c r="AM40" s="23">
        <f t="shared" si="11"/>
        <v>3.5</v>
      </c>
      <c r="AN40" s="23">
        <f t="shared" si="11"/>
        <v>0</v>
      </c>
      <c r="AO40" s="23">
        <f t="shared" si="11"/>
        <v>0</v>
      </c>
    </row>
    <row r="41" spans="3:41" ht="15.6">
      <c r="C41" s="10" t="s">
        <v>93</v>
      </c>
      <c r="D41" s="9" t="s">
        <v>168</v>
      </c>
      <c r="E41" s="11" t="s">
        <v>169</v>
      </c>
      <c r="F41" s="23">
        <f>_xlfn.IFNA(VLOOKUP($D41,Dulieutho,F$2,FALSE),"")</f>
        <v>644</v>
      </c>
      <c r="G41" s="23">
        <f t="shared" si="9"/>
        <v>72</v>
      </c>
      <c r="H41" s="23">
        <f t="shared" si="9"/>
        <v>310</v>
      </c>
      <c r="I41" s="23">
        <f t="shared" si="9"/>
        <v>144</v>
      </c>
      <c r="J41" s="23">
        <f t="shared" si="9"/>
        <v>450</v>
      </c>
      <c r="K41" s="23">
        <f t="shared" si="9"/>
        <v>540</v>
      </c>
      <c r="L41" s="23">
        <f t="shared" si="9"/>
        <v>70</v>
      </c>
      <c r="M41" s="23">
        <f t="shared" si="9"/>
        <v>1</v>
      </c>
      <c r="N41" s="23">
        <f t="shared" si="9"/>
        <v>0</v>
      </c>
      <c r="O41" s="23">
        <f t="shared" si="9"/>
        <v>1.5</v>
      </c>
      <c r="P41" s="23">
        <f t="shared" si="9"/>
        <v>0</v>
      </c>
      <c r="Q41" s="23">
        <f t="shared" si="10"/>
        <v>1</v>
      </c>
      <c r="R41" s="23">
        <f t="shared" si="10"/>
        <v>6</v>
      </c>
      <c r="S41" s="23">
        <f t="shared" si="10"/>
        <v>48</v>
      </c>
      <c r="T41" s="23">
        <f t="shared" si="10"/>
        <v>3</v>
      </c>
      <c r="U41" s="23">
        <f t="shared" si="10"/>
        <v>12</v>
      </c>
      <c r="V41" s="23">
        <f t="shared" si="10"/>
        <v>6</v>
      </c>
      <c r="W41" s="23">
        <f t="shared" si="10"/>
        <v>6</v>
      </c>
      <c r="X41" s="23">
        <f t="shared" si="10"/>
        <v>0</v>
      </c>
      <c r="Y41" s="23">
        <f t="shared" si="10"/>
        <v>6</v>
      </c>
      <c r="Z41" s="23">
        <f t="shared" si="10"/>
        <v>12</v>
      </c>
      <c r="AA41" s="23">
        <f t="shared" si="11"/>
        <v>500</v>
      </c>
      <c r="AB41" s="23">
        <f t="shared" si="11"/>
        <v>450</v>
      </c>
      <c r="AC41" s="23">
        <f t="shared" si="11"/>
        <v>200</v>
      </c>
      <c r="AD41" s="23">
        <f t="shared" si="11"/>
        <v>0</v>
      </c>
      <c r="AE41" s="23">
        <f t="shared" si="11"/>
        <v>100</v>
      </c>
      <c r="AF41" s="23">
        <f t="shared" si="11"/>
        <v>0</v>
      </c>
      <c r="AG41" s="23">
        <f t="shared" si="11"/>
        <v>1000</v>
      </c>
      <c r="AH41" s="23">
        <f t="shared" si="11"/>
        <v>0</v>
      </c>
      <c r="AI41" s="23">
        <f t="shared" si="11"/>
        <v>4</v>
      </c>
      <c r="AJ41" s="23">
        <f t="shared" si="11"/>
        <v>4</v>
      </c>
      <c r="AK41" s="23">
        <f t="shared" si="11"/>
        <v>120</v>
      </c>
      <c r="AL41" s="23">
        <f t="shared" si="11"/>
        <v>0</v>
      </c>
      <c r="AM41" s="23">
        <f t="shared" si="11"/>
        <v>0</v>
      </c>
      <c r="AN41" s="23">
        <f t="shared" si="11"/>
        <v>0</v>
      </c>
      <c r="AO41" s="23">
        <f t="shared" si="11"/>
        <v>0</v>
      </c>
    </row>
    <row r="42" spans="3:41" ht="15.6">
      <c r="C42" s="10" t="s">
        <v>93</v>
      </c>
      <c r="D42" s="9" t="s">
        <v>170</v>
      </c>
      <c r="E42" s="11" t="s">
        <v>171</v>
      </c>
      <c r="F42" s="23">
        <f>_xlfn.IFNA(VLOOKUP($D42,Dulieutho,F$2,FALSE),"")</f>
        <v>704</v>
      </c>
      <c r="G42" s="23">
        <f t="shared" si="9"/>
        <v>72</v>
      </c>
      <c r="H42" s="23">
        <f t="shared" si="9"/>
        <v>140</v>
      </c>
      <c r="I42" s="23">
        <f t="shared" si="9"/>
        <v>144</v>
      </c>
      <c r="J42" s="23">
        <f t="shared" si="9"/>
        <v>270</v>
      </c>
      <c r="K42" s="23">
        <f t="shared" si="9"/>
        <v>660</v>
      </c>
      <c r="L42" s="23">
        <f t="shared" si="9"/>
        <v>90</v>
      </c>
      <c r="M42" s="23">
        <f t="shared" si="9"/>
        <v>0</v>
      </c>
      <c r="N42" s="23">
        <f t="shared" si="9"/>
        <v>1</v>
      </c>
      <c r="O42" s="23">
        <f t="shared" si="9"/>
        <v>0.5</v>
      </c>
      <c r="P42" s="23">
        <f t="shared" si="9"/>
        <v>0</v>
      </c>
      <c r="Q42" s="23">
        <f t="shared" si="10"/>
        <v>4</v>
      </c>
      <c r="R42" s="23">
        <f t="shared" si="10"/>
        <v>12</v>
      </c>
      <c r="S42" s="23">
        <f t="shared" si="10"/>
        <v>24</v>
      </c>
      <c r="T42" s="23">
        <f t="shared" si="10"/>
        <v>0</v>
      </c>
      <c r="U42" s="23">
        <f t="shared" si="10"/>
        <v>12</v>
      </c>
      <c r="V42" s="23">
        <f t="shared" si="10"/>
        <v>8</v>
      </c>
      <c r="W42" s="23">
        <f t="shared" si="10"/>
        <v>3</v>
      </c>
      <c r="X42" s="23">
        <f t="shared" si="10"/>
        <v>0</v>
      </c>
      <c r="Y42" s="23">
        <f t="shared" si="10"/>
        <v>1</v>
      </c>
      <c r="Z42" s="23">
        <f t="shared" si="10"/>
        <v>12</v>
      </c>
      <c r="AA42" s="23">
        <f t="shared" si="11"/>
        <v>0</v>
      </c>
      <c r="AB42" s="23">
        <f t="shared" si="11"/>
        <v>600</v>
      </c>
      <c r="AC42" s="23">
        <f t="shared" si="11"/>
        <v>100</v>
      </c>
      <c r="AD42" s="23">
        <f t="shared" si="11"/>
        <v>100</v>
      </c>
      <c r="AE42" s="23">
        <f t="shared" si="11"/>
        <v>0</v>
      </c>
      <c r="AF42" s="23">
        <f t="shared" si="11"/>
        <v>100</v>
      </c>
      <c r="AG42" s="23">
        <f t="shared" si="11"/>
        <v>1000</v>
      </c>
      <c r="AH42" s="23">
        <f t="shared" si="11"/>
        <v>1</v>
      </c>
      <c r="AI42" s="23">
        <f t="shared" si="11"/>
        <v>4</v>
      </c>
      <c r="AJ42" s="23">
        <f t="shared" si="11"/>
        <v>9</v>
      </c>
      <c r="AK42" s="23">
        <f t="shared" si="11"/>
        <v>120</v>
      </c>
      <c r="AL42" s="23">
        <f t="shared" si="11"/>
        <v>0</v>
      </c>
      <c r="AM42" s="23">
        <f t="shared" si="11"/>
        <v>0</v>
      </c>
      <c r="AN42" s="23">
        <f t="shared" si="11"/>
        <v>0</v>
      </c>
      <c r="AO42" s="23">
        <f t="shared" si="11"/>
        <v>0</v>
      </c>
    </row>
    <row r="43" spans="3:41" ht="15.6">
      <c r="C43" s="10" t="s">
        <v>93</v>
      </c>
      <c r="D43" s="9" t="s">
        <v>172</v>
      </c>
      <c r="E43" s="11" t="s">
        <v>173</v>
      </c>
      <c r="F43" s="23">
        <f>_xlfn.IFNA(VLOOKUP($D43,Dulieutho,F$2,FALSE),"")</f>
        <v>808</v>
      </c>
      <c r="G43" s="23">
        <f t="shared" si="9"/>
        <v>128</v>
      </c>
      <c r="H43" s="23">
        <f t="shared" si="9"/>
        <v>230</v>
      </c>
      <c r="I43" s="23">
        <f t="shared" si="9"/>
        <v>120</v>
      </c>
      <c r="J43" s="23">
        <f t="shared" si="9"/>
        <v>450</v>
      </c>
      <c r="K43" s="23">
        <f t="shared" si="9"/>
        <v>420</v>
      </c>
      <c r="L43" s="23">
        <f t="shared" si="9"/>
        <v>130</v>
      </c>
      <c r="M43" s="23">
        <f t="shared" si="9"/>
        <v>1</v>
      </c>
      <c r="N43" s="23">
        <f t="shared" si="9"/>
        <v>1</v>
      </c>
      <c r="O43" s="23">
        <f t="shared" si="9"/>
        <v>0.5</v>
      </c>
      <c r="P43" s="23">
        <f t="shared" si="9"/>
        <v>0</v>
      </c>
      <c r="Q43" s="23">
        <f t="shared" si="10"/>
        <v>1</v>
      </c>
      <c r="R43" s="23">
        <f t="shared" si="10"/>
        <v>4</v>
      </c>
      <c r="S43" s="23">
        <f t="shared" si="10"/>
        <v>48</v>
      </c>
      <c r="T43" s="23">
        <f t="shared" si="10"/>
        <v>2</v>
      </c>
      <c r="U43" s="23">
        <f t="shared" si="10"/>
        <v>0</v>
      </c>
      <c r="V43" s="23">
        <f t="shared" si="10"/>
        <v>8</v>
      </c>
      <c r="W43" s="23">
        <f t="shared" si="10"/>
        <v>4</v>
      </c>
      <c r="X43" s="23">
        <f t="shared" si="10"/>
        <v>1</v>
      </c>
      <c r="Y43" s="23">
        <f t="shared" si="10"/>
        <v>3</v>
      </c>
      <c r="Z43" s="23">
        <f t="shared" si="10"/>
        <v>12</v>
      </c>
      <c r="AA43" s="23">
        <f t="shared" si="11"/>
        <v>500</v>
      </c>
      <c r="AB43" s="23">
        <f t="shared" si="11"/>
        <v>450</v>
      </c>
      <c r="AC43" s="23">
        <f t="shared" si="11"/>
        <v>0</v>
      </c>
      <c r="AD43" s="23">
        <f t="shared" si="11"/>
        <v>100</v>
      </c>
      <c r="AE43" s="23">
        <f t="shared" si="11"/>
        <v>100</v>
      </c>
      <c r="AF43" s="23">
        <f t="shared" si="11"/>
        <v>200</v>
      </c>
      <c r="AG43" s="23">
        <f t="shared" si="11"/>
        <v>2000</v>
      </c>
      <c r="AH43" s="23">
        <f t="shared" si="11"/>
        <v>1</v>
      </c>
      <c r="AI43" s="23">
        <f t="shared" si="11"/>
        <v>8</v>
      </c>
      <c r="AJ43" s="23">
        <f t="shared" si="11"/>
        <v>6</v>
      </c>
      <c r="AK43" s="23">
        <f t="shared" si="11"/>
        <v>120</v>
      </c>
      <c r="AL43" s="23">
        <f t="shared" si="11"/>
        <v>0</v>
      </c>
      <c r="AM43" s="23">
        <f t="shared" si="11"/>
        <v>0</v>
      </c>
      <c r="AN43" s="23">
        <f t="shared" si="11"/>
        <v>0</v>
      </c>
      <c r="AO43" s="23">
        <f t="shared" si="11"/>
        <v>0</v>
      </c>
    </row>
    <row r="44" spans="3:41" ht="15.6">
      <c r="C44" s="10" t="s">
        <v>93</v>
      </c>
      <c r="D44" s="9" t="s">
        <v>174</v>
      </c>
      <c r="E44" s="11" t="s">
        <v>175</v>
      </c>
      <c r="F44" s="23">
        <f>_xlfn.IFNA(VLOOKUP($D44,Dulieutho,F$2,FALSE),"")</f>
        <v>2060</v>
      </c>
      <c r="G44" s="23">
        <f t="shared" si="9"/>
        <v>348</v>
      </c>
      <c r="H44" s="23">
        <f t="shared" si="9"/>
        <v>340</v>
      </c>
      <c r="I44" s="23">
        <f t="shared" si="9"/>
        <v>696</v>
      </c>
      <c r="J44" s="23">
        <f t="shared" si="9"/>
        <v>720</v>
      </c>
      <c r="K44" s="23">
        <f t="shared" si="9"/>
        <v>1320</v>
      </c>
      <c r="L44" s="23">
        <f t="shared" si="9"/>
        <v>390</v>
      </c>
      <c r="M44" s="23">
        <f t="shared" si="9"/>
        <v>1</v>
      </c>
      <c r="N44" s="23">
        <f t="shared" si="9"/>
        <v>2</v>
      </c>
      <c r="O44" s="23">
        <f t="shared" si="9"/>
        <v>5</v>
      </c>
      <c r="P44" s="23">
        <f t="shared" si="9"/>
        <v>0</v>
      </c>
      <c r="Q44" s="23">
        <f t="shared" si="10"/>
        <v>4</v>
      </c>
      <c r="R44" s="23">
        <f t="shared" si="10"/>
        <v>8</v>
      </c>
      <c r="S44" s="23">
        <f t="shared" si="10"/>
        <v>120</v>
      </c>
      <c r="T44" s="23">
        <f t="shared" si="10"/>
        <v>2</v>
      </c>
      <c r="U44" s="23">
        <f t="shared" si="10"/>
        <v>24</v>
      </c>
      <c r="V44" s="23">
        <f t="shared" si="10"/>
        <v>14</v>
      </c>
      <c r="W44" s="23">
        <f t="shared" si="10"/>
        <v>28</v>
      </c>
      <c r="X44" s="23">
        <f t="shared" si="10"/>
        <v>0</v>
      </c>
      <c r="Y44" s="23">
        <f t="shared" si="10"/>
        <v>25</v>
      </c>
      <c r="Z44" s="23">
        <f t="shared" si="10"/>
        <v>32</v>
      </c>
      <c r="AA44" s="23">
        <f t="shared" si="11"/>
        <v>500</v>
      </c>
      <c r="AB44" s="23">
        <f t="shared" si="11"/>
        <v>1500</v>
      </c>
      <c r="AC44" s="23">
        <f t="shared" si="11"/>
        <v>0</v>
      </c>
      <c r="AD44" s="23">
        <f t="shared" si="11"/>
        <v>300</v>
      </c>
      <c r="AE44" s="23">
        <f t="shared" si="11"/>
        <v>300</v>
      </c>
      <c r="AF44" s="23">
        <f t="shared" si="11"/>
        <v>400</v>
      </c>
      <c r="AG44" s="23">
        <f t="shared" si="11"/>
        <v>2000</v>
      </c>
      <c r="AH44" s="23">
        <f t="shared" si="11"/>
        <v>1</v>
      </c>
      <c r="AI44" s="23">
        <f t="shared" si="11"/>
        <v>8</v>
      </c>
      <c r="AJ44" s="23">
        <f t="shared" si="11"/>
        <v>11</v>
      </c>
      <c r="AK44" s="23">
        <f t="shared" si="11"/>
        <v>300</v>
      </c>
      <c r="AL44" s="23">
        <f t="shared" si="11"/>
        <v>210</v>
      </c>
      <c r="AM44" s="23">
        <f t="shared" si="11"/>
        <v>3</v>
      </c>
      <c r="AN44" s="23">
        <f t="shared" si="11"/>
        <v>0</v>
      </c>
      <c r="AO44" s="23">
        <f t="shared" si="11"/>
        <v>0</v>
      </c>
    </row>
    <row r="45" spans="3:41" ht="15.6">
      <c r="C45" s="10" t="s">
        <v>93</v>
      </c>
      <c r="D45" s="9" t="s">
        <v>176</v>
      </c>
      <c r="E45" s="11" t="s">
        <v>177</v>
      </c>
      <c r="F45" s="23">
        <f>_xlfn.IFNA(VLOOKUP($D45,Dulieutho,F$2,FALSE),"")</f>
        <v>720</v>
      </c>
      <c r="G45" s="23">
        <f t="shared" ref="G45:P54" si="12">_xlfn.IFNA(VLOOKUP($D45,Dulieutho,G$2,FALSE),"")</f>
        <v>80</v>
      </c>
      <c r="H45" s="23">
        <f t="shared" si="12"/>
        <v>60</v>
      </c>
      <c r="I45" s="23">
        <f t="shared" si="12"/>
        <v>168</v>
      </c>
      <c r="J45" s="23">
        <f t="shared" si="12"/>
        <v>180</v>
      </c>
      <c r="K45" s="23">
        <f t="shared" si="12"/>
        <v>600</v>
      </c>
      <c r="L45" s="23">
        <f t="shared" si="12"/>
        <v>90</v>
      </c>
      <c r="M45" s="23">
        <f t="shared" si="12"/>
        <v>1</v>
      </c>
      <c r="N45" s="23">
        <f t="shared" si="12"/>
        <v>0</v>
      </c>
      <c r="O45" s="23">
        <f t="shared" si="12"/>
        <v>1</v>
      </c>
      <c r="P45" s="23">
        <f t="shared" si="12"/>
        <v>0</v>
      </c>
      <c r="Q45" s="23">
        <f t="shared" ref="Q45:Z54" si="13">_xlfn.IFNA(VLOOKUP($D45,Dulieutho,Q$2,FALSE),"")</f>
        <v>1</v>
      </c>
      <c r="R45" s="23">
        <f t="shared" si="13"/>
        <v>0</v>
      </c>
      <c r="S45" s="23">
        <f t="shared" si="13"/>
        <v>72</v>
      </c>
      <c r="T45" s="23">
        <f t="shared" si="13"/>
        <v>0</v>
      </c>
      <c r="U45" s="23">
        <f t="shared" si="13"/>
        <v>12</v>
      </c>
      <c r="V45" s="23">
        <f t="shared" si="13"/>
        <v>10</v>
      </c>
      <c r="W45" s="23">
        <f t="shared" si="13"/>
        <v>3</v>
      </c>
      <c r="X45" s="23">
        <f t="shared" si="13"/>
        <v>0.5</v>
      </c>
      <c r="Y45" s="23">
        <f t="shared" si="13"/>
        <v>1</v>
      </c>
      <c r="Z45" s="23">
        <f t="shared" si="13"/>
        <v>10</v>
      </c>
      <c r="AA45" s="23">
        <f t="shared" ref="AA45:AO54" si="14">_xlfn.IFNA(VLOOKUP($D45,Dulieutho,AA$2,FALSE),"")</f>
        <v>500</v>
      </c>
      <c r="AB45" s="23">
        <f t="shared" si="14"/>
        <v>600</v>
      </c>
      <c r="AC45" s="23">
        <f t="shared" si="14"/>
        <v>100</v>
      </c>
      <c r="AD45" s="23">
        <f t="shared" si="14"/>
        <v>100</v>
      </c>
      <c r="AE45" s="23">
        <f t="shared" si="14"/>
        <v>0</v>
      </c>
      <c r="AF45" s="23">
        <f t="shared" si="14"/>
        <v>100</v>
      </c>
      <c r="AG45" s="23">
        <f t="shared" si="14"/>
        <v>1000</v>
      </c>
      <c r="AH45" s="23">
        <f t="shared" si="14"/>
        <v>1</v>
      </c>
      <c r="AI45" s="23">
        <f t="shared" si="14"/>
        <v>4</v>
      </c>
      <c r="AJ45" s="23">
        <f t="shared" si="14"/>
        <v>4</v>
      </c>
      <c r="AK45" s="23">
        <f t="shared" si="14"/>
        <v>120</v>
      </c>
      <c r="AL45" s="23">
        <f t="shared" si="14"/>
        <v>30</v>
      </c>
      <c r="AM45" s="23">
        <f t="shared" si="14"/>
        <v>1</v>
      </c>
      <c r="AN45" s="23">
        <f t="shared" si="14"/>
        <v>0</v>
      </c>
      <c r="AO45" s="23">
        <f t="shared" si="14"/>
        <v>100</v>
      </c>
    </row>
    <row r="46" spans="3:41" ht="15.6">
      <c r="C46" s="10" t="s">
        <v>93</v>
      </c>
      <c r="D46" s="9" t="s">
        <v>178</v>
      </c>
      <c r="E46" s="11" t="s">
        <v>179</v>
      </c>
      <c r="F46" s="23">
        <f>_xlfn.IFNA(VLOOKUP($D46,Dulieutho,F$2,FALSE),"")</f>
        <v>892</v>
      </c>
      <c r="G46" s="23">
        <f t="shared" si="12"/>
        <v>76</v>
      </c>
      <c r="H46" s="23">
        <f t="shared" si="12"/>
        <v>210</v>
      </c>
      <c r="I46" s="23">
        <f t="shared" si="12"/>
        <v>96</v>
      </c>
      <c r="J46" s="23">
        <f t="shared" si="12"/>
        <v>450</v>
      </c>
      <c r="K46" s="23">
        <f t="shared" si="12"/>
        <v>540</v>
      </c>
      <c r="L46" s="23">
        <f t="shared" si="12"/>
        <v>70</v>
      </c>
      <c r="M46" s="23">
        <f t="shared" si="12"/>
        <v>0</v>
      </c>
      <c r="N46" s="23">
        <f t="shared" si="12"/>
        <v>1</v>
      </c>
      <c r="O46" s="23">
        <f t="shared" si="12"/>
        <v>0</v>
      </c>
      <c r="P46" s="23">
        <f t="shared" si="12"/>
        <v>25</v>
      </c>
      <c r="Q46" s="23">
        <f t="shared" si="13"/>
        <v>2</v>
      </c>
      <c r="R46" s="23">
        <f t="shared" si="13"/>
        <v>5</v>
      </c>
      <c r="S46" s="23">
        <f t="shared" si="13"/>
        <v>60</v>
      </c>
      <c r="T46" s="23">
        <f t="shared" si="13"/>
        <v>1</v>
      </c>
      <c r="U46" s="23">
        <f t="shared" si="13"/>
        <v>24</v>
      </c>
      <c r="V46" s="23">
        <f t="shared" si="13"/>
        <v>10</v>
      </c>
      <c r="W46" s="23">
        <f t="shared" si="13"/>
        <v>5</v>
      </c>
      <c r="X46" s="23">
        <f t="shared" si="13"/>
        <v>0</v>
      </c>
      <c r="Y46" s="23">
        <f t="shared" si="13"/>
        <v>7</v>
      </c>
      <c r="Z46" s="23">
        <f t="shared" si="13"/>
        <v>10</v>
      </c>
      <c r="AA46" s="23">
        <f t="shared" si="14"/>
        <v>500</v>
      </c>
      <c r="AB46" s="23">
        <f t="shared" si="14"/>
        <v>450</v>
      </c>
      <c r="AC46" s="23">
        <f t="shared" si="14"/>
        <v>200</v>
      </c>
      <c r="AD46" s="23">
        <f t="shared" si="14"/>
        <v>100</v>
      </c>
      <c r="AE46" s="23">
        <f t="shared" si="14"/>
        <v>100</v>
      </c>
      <c r="AF46" s="23">
        <f t="shared" si="14"/>
        <v>100</v>
      </c>
      <c r="AG46" s="23">
        <f t="shared" si="14"/>
        <v>1000</v>
      </c>
      <c r="AH46" s="23">
        <f t="shared" si="14"/>
        <v>0</v>
      </c>
      <c r="AI46" s="23">
        <f t="shared" si="14"/>
        <v>4</v>
      </c>
      <c r="AJ46" s="23">
        <f t="shared" si="14"/>
        <v>6</v>
      </c>
      <c r="AK46" s="23">
        <f t="shared" si="14"/>
        <v>150</v>
      </c>
      <c r="AL46" s="23">
        <f t="shared" si="14"/>
        <v>0</v>
      </c>
      <c r="AM46" s="23">
        <f t="shared" si="14"/>
        <v>0</v>
      </c>
      <c r="AN46" s="23">
        <f t="shared" si="14"/>
        <v>1</v>
      </c>
      <c r="AO46" s="23">
        <f t="shared" si="14"/>
        <v>0</v>
      </c>
    </row>
    <row r="47" spans="3:41" ht="15.6">
      <c r="C47" s="10" t="s">
        <v>93</v>
      </c>
      <c r="D47" s="9" t="s">
        <v>180</v>
      </c>
      <c r="E47" s="11" t="s">
        <v>181</v>
      </c>
      <c r="F47" s="23">
        <f>_xlfn.IFNA(VLOOKUP($D47,Dulieutho,F$2,FALSE),"")</f>
        <v>676</v>
      </c>
      <c r="G47" s="23">
        <f t="shared" si="12"/>
        <v>80</v>
      </c>
      <c r="H47" s="23">
        <f t="shared" si="12"/>
        <v>210</v>
      </c>
      <c r="I47" s="23">
        <f t="shared" si="12"/>
        <v>216</v>
      </c>
      <c r="J47" s="23">
        <f t="shared" si="12"/>
        <v>360</v>
      </c>
      <c r="K47" s="23">
        <f t="shared" si="12"/>
        <v>480</v>
      </c>
      <c r="L47" s="23">
        <f t="shared" si="12"/>
        <v>90</v>
      </c>
      <c r="M47" s="23">
        <f t="shared" si="12"/>
        <v>1</v>
      </c>
      <c r="N47" s="23">
        <f t="shared" si="12"/>
        <v>2</v>
      </c>
      <c r="O47" s="23">
        <f t="shared" si="12"/>
        <v>2.5</v>
      </c>
      <c r="P47" s="23">
        <f t="shared" si="12"/>
        <v>25</v>
      </c>
      <c r="Q47" s="23">
        <f t="shared" si="13"/>
        <v>2</v>
      </c>
      <c r="R47" s="23">
        <f t="shared" si="13"/>
        <v>8.5</v>
      </c>
      <c r="S47" s="23">
        <f t="shared" si="13"/>
        <v>36</v>
      </c>
      <c r="T47" s="23">
        <f t="shared" si="13"/>
        <v>4</v>
      </c>
      <c r="U47" s="23">
        <f t="shared" si="13"/>
        <v>12</v>
      </c>
      <c r="V47" s="23">
        <f t="shared" si="13"/>
        <v>10</v>
      </c>
      <c r="W47" s="23">
        <f t="shared" si="13"/>
        <v>12</v>
      </c>
      <c r="X47" s="23">
        <f t="shared" si="13"/>
        <v>0</v>
      </c>
      <c r="Y47" s="23">
        <f t="shared" si="13"/>
        <v>3</v>
      </c>
      <c r="Z47" s="23">
        <f t="shared" si="13"/>
        <v>14</v>
      </c>
      <c r="AA47" s="23">
        <f t="shared" si="14"/>
        <v>500</v>
      </c>
      <c r="AB47" s="23">
        <f t="shared" si="14"/>
        <v>150</v>
      </c>
      <c r="AC47" s="23">
        <f t="shared" si="14"/>
        <v>100</v>
      </c>
      <c r="AD47" s="23">
        <f t="shared" si="14"/>
        <v>200</v>
      </c>
      <c r="AE47" s="23">
        <f t="shared" si="14"/>
        <v>200</v>
      </c>
      <c r="AF47" s="23">
        <f t="shared" si="14"/>
        <v>100</v>
      </c>
      <c r="AG47" s="23">
        <f t="shared" si="14"/>
        <v>1000</v>
      </c>
      <c r="AH47" s="23">
        <f t="shared" si="14"/>
        <v>0</v>
      </c>
      <c r="AI47" s="23">
        <f t="shared" si="14"/>
        <v>4</v>
      </c>
      <c r="AJ47" s="23">
        <f t="shared" si="14"/>
        <v>3</v>
      </c>
      <c r="AK47" s="23">
        <f t="shared" si="14"/>
        <v>150</v>
      </c>
      <c r="AL47" s="23">
        <f t="shared" si="14"/>
        <v>0</v>
      </c>
      <c r="AM47" s="23">
        <f t="shared" si="14"/>
        <v>0</v>
      </c>
      <c r="AN47" s="23">
        <f t="shared" si="14"/>
        <v>1</v>
      </c>
      <c r="AO47" s="23">
        <f t="shared" si="14"/>
        <v>0</v>
      </c>
    </row>
    <row r="48" spans="3:41" ht="15.6">
      <c r="C48" s="10" t="s">
        <v>93</v>
      </c>
      <c r="D48" s="9" t="s">
        <v>182</v>
      </c>
      <c r="E48" s="11" t="s">
        <v>183</v>
      </c>
      <c r="F48" s="23">
        <f>_xlfn.IFNA(VLOOKUP($D48,Dulieutho,F$2,FALSE),"")</f>
        <v>364</v>
      </c>
      <c r="G48" s="23">
        <f t="shared" si="12"/>
        <v>52</v>
      </c>
      <c r="H48" s="23">
        <f t="shared" si="12"/>
        <v>150</v>
      </c>
      <c r="I48" s="23">
        <f t="shared" si="12"/>
        <v>72</v>
      </c>
      <c r="J48" s="23">
        <f t="shared" si="12"/>
        <v>180</v>
      </c>
      <c r="K48" s="23">
        <f t="shared" si="12"/>
        <v>180</v>
      </c>
      <c r="L48" s="23">
        <f t="shared" si="12"/>
        <v>30</v>
      </c>
      <c r="M48" s="23">
        <f t="shared" si="12"/>
        <v>0</v>
      </c>
      <c r="N48" s="23">
        <f t="shared" si="12"/>
        <v>0</v>
      </c>
      <c r="O48" s="23">
        <f t="shared" si="12"/>
        <v>0.5</v>
      </c>
      <c r="P48" s="23">
        <f t="shared" si="12"/>
        <v>0</v>
      </c>
      <c r="Q48" s="23">
        <f t="shared" si="13"/>
        <v>1</v>
      </c>
      <c r="R48" s="23">
        <f t="shared" si="13"/>
        <v>5</v>
      </c>
      <c r="S48" s="23">
        <f t="shared" si="13"/>
        <v>12</v>
      </c>
      <c r="T48" s="23">
        <f t="shared" si="13"/>
        <v>1</v>
      </c>
      <c r="U48" s="23">
        <f t="shared" si="13"/>
        <v>0</v>
      </c>
      <c r="V48" s="23">
        <f t="shared" si="13"/>
        <v>6</v>
      </c>
      <c r="W48" s="23">
        <f t="shared" si="13"/>
        <v>1</v>
      </c>
      <c r="X48" s="23">
        <f t="shared" si="13"/>
        <v>0.5</v>
      </c>
      <c r="Y48" s="23">
        <f t="shared" si="13"/>
        <v>4</v>
      </c>
      <c r="Z48" s="23">
        <f t="shared" si="13"/>
        <v>12</v>
      </c>
      <c r="AA48" s="23">
        <f t="shared" si="14"/>
        <v>0</v>
      </c>
      <c r="AB48" s="23">
        <f t="shared" si="14"/>
        <v>300</v>
      </c>
      <c r="AC48" s="23">
        <f t="shared" si="14"/>
        <v>100</v>
      </c>
      <c r="AD48" s="23">
        <f t="shared" si="14"/>
        <v>0</v>
      </c>
      <c r="AE48" s="23">
        <f t="shared" si="14"/>
        <v>100</v>
      </c>
      <c r="AF48" s="23">
        <f t="shared" si="14"/>
        <v>0</v>
      </c>
      <c r="AG48" s="23">
        <f t="shared" si="14"/>
        <v>1000</v>
      </c>
      <c r="AH48" s="23">
        <f t="shared" si="14"/>
        <v>0</v>
      </c>
      <c r="AI48" s="23">
        <f t="shared" si="14"/>
        <v>4</v>
      </c>
      <c r="AJ48" s="23">
        <f t="shared" si="14"/>
        <v>5</v>
      </c>
      <c r="AK48" s="23">
        <f t="shared" si="14"/>
        <v>90</v>
      </c>
      <c r="AL48" s="23">
        <f t="shared" si="14"/>
        <v>30</v>
      </c>
      <c r="AM48" s="23">
        <f t="shared" si="14"/>
        <v>1.5</v>
      </c>
      <c r="AN48" s="23">
        <f t="shared" si="14"/>
        <v>0</v>
      </c>
      <c r="AO48" s="23">
        <f t="shared" si="14"/>
        <v>0</v>
      </c>
    </row>
    <row r="49" spans="3:41" ht="15.6">
      <c r="C49" s="10" t="s">
        <v>93</v>
      </c>
      <c r="D49" s="9" t="s">
        <v>184</v>
      </c>
      <c r="E49" s="11" t="s">
        <v>185</v>
      </c>
      <c r="F49" s="23">
        <f>_xlfn.IFNA(VLOOKUP($D49,Dulieutho,F$2,FALSE),"")</f>
        <v>536</v>
      </c>
      <c r="G49" s="23">
        <f t="shared" si="12"/>
        <v>88</v>
      </c>
      <c r="H49" s="23">
        <f t="shared" si="12"/>
        <v>170</v>
      </c>
      <c r="I49" s="23">
        <f t="shared" si="12"/>
        <v>216</v>
      </c>
      <c r="J49" s="23">
        <f t="shared" si="12"/>
        <v>1080</v>
      </c>
      <c r="K49" s="23">
        <f t="shared" si="12"/>
        <v>600</v>
      </c>
      <c r="L49" s="23">
        <f t="shared" si="12"/>
        <v>40</v>
      </c>
      <c r="M49" s="23">
        <f t="shared" si="12"/>
        <v>0</v>
      </c>
      <c r="N49" s="23">
        <f t="shared" si="12"/>
        <v>0</v>
      </c>
      <c r="O49" s="23">
        <f t="shared" si="12"/>
        <v>0</v>
      </c>
      <c r="P49" s="23">
        <f t="shared" si="12"/>
        <v>0</v>
      </c>
      <c r="Q49" s="23">
        <f t="shared" si="13"/>
        <v>11</v>
      </c>
      <c r="R49" s="23">
        <f t="shared" si="13"/>
        <v>12</v>
      </c>
      <c r="S49" s="23">
        <f t="shared" si="13"/>
        <v>36</v>
      </c>
      <c r="T49" s="23">
        <f t="shared" si="13"/>
        <v>12</v>
      </c>
      <c r="U49" s="23">
        <f t="shared" si="13"/>
        <v>0</v>
      </c>
      <c r="V49" s="23">
        <f t="shared" si="13"/>
        <v>6</v>
      </c>
      <c r="W49" s="23">
        <f t="shared" si="13"/>
        <v>4</v>
      </c>
      <c r="X49" s="23">
        <f t="shared" si="13"/>
        <v>0</v>
      </c>
      <c r="Y49" s="23">
        <f t="shared" si="13"/>
        <v>6</v>
      </c>
      <c r="Z49" s="23">
        <f t="shared" si="13"/>
        <v>8</v>
      </c>
      <c r="AA49" s="23">
        <f t="shared" si="14"/>
        <v>0</v>
      </c>
      <c r="AB49" s="23">
        <f t="shared" si="14"/>
        <v>300</v>
      </c>
      <c r="AC49" s="23">
        <f t="shared" si="14"/>
        <v>100</v>
      </c>
      <c r="AD49" s="23">
        <f t="shared" si="14"/>
        <v>0</v>
      </c>
      <c r="AE49" s="23">
        <f t="shared" si="14"/>
        <v>100</v>
      </c>
      <c r="AF49" s="23">
        <f t="shared" si="14"/>
        <v>0</v>
      </c>
      <c r="AG49" s="23">
        <f t="shared" si="14"/>
        <v>0</v>
      </c>
      <c r="AH49" s="23">
        <f t="shared" si="14"/>
        <v>0</v>
      </c>
      <c r="AI49" s="23">
        <f t="shared" si="14"/>
        <v>0</v>
      </c>
      <c r="AJ49" s="23">
        <f t="shared" si="14"/>
        <v>4</v>
      </c>
      <c r="AK49" s="23">
        <f t="shared" si="14"/>
        <v>0</v>
      </c>
      <c r="AL49" s="23">
        <f t="shared" si="14"/>
        <v>0</v>
      </c>
      <c r="AM49" s="23">
        <f t="shared" si="14"/>
        <v>0.5</v>
      </c>
      <c r="AN49" s="23">
        <f t="shared" si="14"/>
        <v>0</v>
      </c>
      <c r="AO49" s="23">
        <f t="shared" si="14"/>
        <v>600</v>
      </c>
    </row>
    <row r="50" spans="3:41" ht="15.6">
      <c r="C50" s="10" t="s">
        <v>93</v>
      </c>
      <c r="D50" s="9" t="s">
        <v>186</v>
      </c>
      <c r="E50" s="11" t="s">
        <v>187</v>
      </c>
      <c r="F50" s="23" t="str">
        <f>_xlfn.IFNA(VLOOKUP($D50,Dulieutho,F$2,FALSE),"")</f>
        <v/>
      </c>
      <c r="G50" s="23" t="str">
        <f t="shared" si="12"/>
        <v/>
      </c>
      <c r="H50" s="23" t="str">
        <f t="shared" si="12"/>
        <v/>
      </c>
      <c r="I50" s="23" t="str">
        <f t="shared" si="12"/>
        <v/>
      </c>
      <c r="J50" s="23" t="str">
        <f t="shared" si="12"/>
        <v/>
      </c>
      <c r="K50" s="23" t="str">
        <f t="shared" si="12"/>
        <v/>
      </c>
      <c r="L50" s="23" t="str">
        <f t="shared" si="12"/>
        <v/>
      </c>
      <c r="M50" s="23" t="str">
        <f t="shared" si="12"/>
        <v/>
      </c>
      <c r="N50" s="23" t="str">
        <f t="shared" si="12"/>
        <v/>
      </c>
      <c r="O50" s="23" t="str">
        <f t="shared" si="12"/>
        <v/>
      </c>
      <c r="P50" s="23" t="str">
        <f t="shared" si="12"/>
        <v/>
      </c>
      <c r="Q50" s="23" t="str">
        <f t="shared" si="13"/>
        <v/>
      </c>
      <c r="R50" s="23" t="str">
        <f t="shared" si="13"/>
        <v/>
      </c>
      <c r="S50" s="23" t="str">
        <f t="shared" si="13"/>
        <v/>
      </c>
      <c r="T50" s="23" t="str">
        <f t="shared" si="13"/>
        <v/>
      </c>
      <c r="U50" s="23" t="str">
        <f t="shared" si="13"/>
        <v/>
      </c>
      <c r="V50" s="23" t="str">
        <f t="shared" si="13"/>
        <v/>
      </c>
      <c r="W50" s="23" t="str">
        <f t="shared" si="13"/>
        <v/>
      </c>
      <c r="X50" s="23" t="str">
        <f t="shared" si="13"/>
        <v/>
      </c>
      <c r="Y50" s="23" t="str">
        <f t="shared" si="13"/>
        <v/>
      </c>
      <c r="Z50" s="23" t="str">
        <f t="shared" si="13"/>
        <v/>
      </c>
      <c r="AA50" s="23" t="str">
        <f t="shared" si="14"/>
        <v/>
      </c>
      <c r="AB50" s="23" t="str">
        <f t="shared" si="14"/>
        <v/>
      </c>
      <c r="AC50" s="23" t="str">
        <f t="shared" si="14"/>
        <v/>
      </c>
      <c r="AD50" s="23" t="str">
        <f t="shared" si="14"/>
        <v/>
      </c>
      <c r="AE50" s="23" t="str">
        <f t="shared" si="14"/>
        <v/>
      </c>
      <c r="AF50" s="23" t="str">
        <f t="shared" si="14"/>
        <v/>
      </c>
      <c r="AG50" s="23" t="str">
        <f t="shared" si="14"/>
        <v/>
      </c>
      <c r="AH50" s="23" t="str">
        <f t="shared" si="14"/>
        <v/>
      </c>
      <c r="AI50" s="23" t="str">
        <f t="shared" si="14"/>
        <v/>
      </c>
      <c r="AJ50" s="23" t="str">
        <f t="shared" si="14"/>
        <v/>
      </c>
      <c r="AK50" s="23" t="str">
        <f t="shared" si="14"/>
        <v/>
      </c>
      <c r="AL50" s="23" t="str">
        <f t="shared" si="14"/>
        <v/>
      </c>
      <c r="AM50" s="23" t="str">
        <f t="shared" si="14"/>
        <v/>
      </c>
      <c r="AN50" s="23" t="str">
        <f t="shared" si="14"/>
        <v/>
      </c>
      <c r="AO50" s="23" t="str">
        <f t="shared" si="14"/>
        <v/>
      </c>
    </row>
    <row r="51" spans="3:41" ht="15.6">
      <c r="C51" s="10" t="s">
        <v>93</v>
      </c>
      <c r="D51" s="9" t="s">
        <v>188</v>
      </c>
      <c r="E51" s="11" t="s">
        <v>189</v>
      </c>
      <c r="F51" s="23">
        <f>_xlfn.IFNA(VLOOKUP($D51,Dulieutho,F$2,FALSE),"")</f>
        <v>3672</v>
      </c>
      <c r="G51" s="23">
        <f t="shared" si="12"/>
        <v>696</v>
      </c>
      <c r="H51" s="23">
        <f t="shared" si="12"/>
        <v>210</v>
      </c>
      <c r="I51" s="23">
        <f t="shared" si="12"/>
        <v>408</v>
      </c>
      <c r="J51" s="23">
        <f t="shared" si="12"/>
        <v>1080</v>
      </c>
      <c r="K51" s="23">
        <f t="shared" si="12"/>
        <v>2880</v>
      </c>
      <c r="L51" s="23">
        <f t="shared" si="12"/>
        <v>740</v>
      </c>
      <c r="M51" s="23">
        <f t="shared" si="12"/>
        <v>1</v>
      </c>
      <c r="N51" s="23">
        <f t="shared" si="12"/>
        <v>2</v>
      </c>
      <c r="O51" s="23">
        <f t="shared" si="12"/>
        <v>3.5</v>
      </c>
      <c r="P51" s="23">
        <f t="shared" si="12"/>
        <v>25</v>
      </c>
      <c r="Q51" s="23">
        <f t="shared" si="13"/>
        <v>3</v>
      </c>
      <c r="R51" s="23">
        <f t="shared" si="13"/>
        <v>6</v>
      </c>
      <c r="S51" s="23">
        <f t="shared" si="13"/>
        <v>36</v>
      </c>
      <c r="T51" s="23">
        <f t="shared" si="13"/>
        <v>0</v>
      </c>
      <c r="U51" s="23">
        <f t="shared" si="13"/>
        <v>48</v>
      </c>
      <c r="V51" s="23">
        <f t="shared" si="13"/>
        <v>6</v>
      </c>
      <c r="W51" s="23">
        <f t="shared" si="13"/>
        <v>18</v>
      </c>
      <c r="X51" s="23">
        <f t="shared" si="13"/>
        <v>0</v>
      </c>
      <c r="Y51" s="23">
        <f t="shared" si="13"/>
        <v>2</v>
      </c>
      <c r="Z51" s="23">
        <f t="shared" si="13"/>
        <v>12</v>
      </c>
      <c r="AA51" s="23">
        <f t="shared" si="14"/>
        <v>1500</v>
      </c>
      <c r="AB51" s="23">
        <f t="shared" si="14"/>
        <v>2400</v>
      </c>
      <c r="AC51" s="23">
        <f t="shared" si="14"/>
        <v>0</v>
      </c>
      <c r="AD51" s="23">
        <f t="shared" si="14"/>
        <v>300</v>
      </c>
      <c r="AE51" s="23">
        <f t="shared" si="14"/>
        <v>100</v>
      </c>
      <c r="AF51" s="23">
        <f t="shared" si="14"/>
        <v>700</v>
      </c>
      <c r="AG51" s="23">
        <f t="shared" si="14"/>
        <v>2000</v>
      </c>
      <c r="AH51" s="23">
        <f t="shared" si="14"/>
        <v>0</v>
      </c>
      <c r="AI51" s="23">
        <f t="shared" si="14"/>
        <v>8</v>
      </c>
      <c r="AJ51" s="23">
        <f t="shared" si="14"/>
        <v>5</v>
      </c>
      <c r="AK51" s="23">
        <f t="shared" si="14"/>
        <v>240</v>
      </c>
      <c r="AL51" s="23">
        <f t="shared" si="14"/>
        <v>90</v>
      </c>
      <c r="AM51" s="23">
        <f t="shared" si="14"/>
        <v>1.5</v>
      </c>
      <c r="AN51" s="23">
        <f t="shared" si="14"/>
        <v>0</v>
      </c>
      <c r="AO51" s="23">
        <f t="shared" si="14"/>
        <v>0</v>
      </c>
    </row>
    <row r="52" spans="3:41" ht="15.6">
      <c r="C52" s="10" t="s">
        <v>93</v>
      </c>
      <c r="D52" s="9" t="s">
        <v>190</v>
      </c>
      <c r="E52" s="11" t="s">
        <v>191</v>
      </c>
      <c r="F52" s="23">
        <f>_xlfn.IFNA(VLOOKUP($D52,Dulieutho,F$2,FALSE),"")</f>
        <v>1856</v>
      </c>
      <c r="G52" s="23">
        <f t="shared" si="12"/>
        <v>268</v>
      </c>
      <c r="H52" s="23">
        <f t="shared" si="12"/>
        <v>1020</v>
      </c>
      <c r="I52" s="23">
        <f t="shared" si="12"/>
        <v>816</v>
      </c>
      <c r="J52" s="23">
        <f t="shared" si="12"/>
        <v>1620</v>
      </c>
      <c r="K52" s="23">
        <f t="shared" si="12"/>
        <v>1380</v>
      </c>
      <c r="L52" s="23">
        <f t="shared" si="12"/>
        <v>190</v>
      </c>
      <c r="M52" s="23">
        <f t="shared" si="12"/>
        <v>0</v>
      </c>
      <c r="N52" s="23">
        <f t="shared" si="12"/>
        <v>2</v>
      </c>
      <c r="O52" s="23">
        <f t="shared" si="12"/>
        <v>2</v>
      </c>
      <c r="P52" s="23">
        <f t="shared" si="12"/>
        <v>25</v>
      </c>
      <c r="Q52" s="23">
        <f t="shared" si="13"/>
        <v>10</v>
      </c>
      <c r="R52" s="23">
        <f t="shared" si="13"/>
        <v>22</v>
      </c>
      <c r="S52" s="23">
        <f t="shared" si="13"/>
        <v>60</v>
      </c>
      <c r="T52" s="23">
        <f t="shared" si="13"/>
        <v>0</v>
      </c>
      <c r="U52" s="23">
        <f t="shared" si="13"/>
        <v>48</v>
      </c>
      <c r="V52" s="23">
        <f t="shared" si="13"/>
        <v>10</v>
      </c>
      <c r="W52" s="23">
        <f t="shared" si="13"/>
        <v>20</v>
      </c>
      <c r="X52" s="23">
        <f t="shared" si="13"/>
        <v>0</v>
      </c>
      <c r="Y52" s="23">
        <f t="shared" si="13"/>
        <v>10</v>
      </c>
      <c r="Z52" s="23">
        <f t="shared" si="13"/>
        <v>16</v>
      </c>
      <c r="AA52" s="23">
        <f t="shared" si="14"/>
        <v>500</v>
      </c>
      <c r="AB52" s="23">
        <f t="shared" si="14"/>
        <v>1200</v>
      </c>
      <c r="AC52" s="23">
        <f t="shared" si="14"/>
        <v>300</v>
      </c>
      <c r="AD52" s="23">
        <f t="shared" si="14"/>
        <v>400</v>
      </c>
      <c r="AE52" s="23">
        <f t="shared" si="14"/>
        <v>900</v>
      </c>
      <c r="AF52" s="23">
        <f t="shared" si="14"/>
        <v>300</v>
      </c>
      <c r="AG52" s="23">
        <f t="shared" si="14"/>
        <v>3000</v>
      </c>
      <c r="AH52" s="23">
        <f t="shared" si="14"/>
        <v>1</v>
      </c>
      <c r="AI52" s="23">
        <f t="shared" si="14"/>
        <v>12</v>
      </c>
      <c r="AJ52" s="23">
        <f t="shared" si="14"/>
        <v>14</v>
      </c>
      <c r="AK52" s="23">
        <f t="shared" si="14"/>
        <v>330</v>
      </c>
      <c r="AL52" s="23">
        <f t="shared" si="14"/>
        <v>0</v>
      </c>
      <c r="AM52" s="23">
        <f t="shared" si="14"/>
        <v>3</v>
      </c>
      <c r="AN52" s="23">
        <f t="shared" si="14"/>
        <v>0</v>
      </c>
      <c r="AO52" s="23">
        <f t="shared" si="14"/>
        <v>0</v>
      </c>
    </row>
    <row r="53" spans="3:41" ht="15.6">
      <c r="C53" s="10" t="s">
        <v>93</v>
      </c>
      <c r="D53" s="9" t="s">
        <v>192</v>
      </c>
      <c r="E53" s="11" t="s">
        <v>193</v>
      </c>
      <c r="F53" s="23">
        <f>_xlfn.IFNA(VLOOKUP($D53,Dulieutho,F$2,FALSE),"")</f>
        <v>1564</v>
      </c>
      <c r="G53" s="23">
        <f t="shared" si="12"/>
        <v>228</v>
      </c>
      <c r="H53" s="23">
        <f t="shared" si="12"/>
        <v>740</v>
      </c>
      <c r="I53" s="23">
        <f t="shared" si="12"/>
        <v>648</v>
      </c>
      <c r="J53" s="23">
        <f t="shared" si="12"/>
        <v>810</v>
      </c>
      <c r="K53" s="23">
        <f t="shared" si="12"/>
        <v>1200</v>
      </c>
      <c r="L53" s="23">
        <f t="shared" si="12"/>
        <v>230</v>
      </c>
      <c r="M53" s="23">
        <f t="shared" si="12"/>
        <v>2</v>
      </c>
      <c r="N53" s="23">
        <f t="shared" si="12"/>
        <v>1</v>
      </c>
      <c r="O53" s="23">
        <f t="shared" si="12"/>
        <v>2.5</v>
      </c>
      <c r="P53" s="23">
        <f t="shared" si="12"/>
        <v>50</v>
      </c>
      <c r="Q53" s="23">
        <f t="shared" si="13"/>
        <v>6</v>
      </c>
      <c r="R53" s="23">
        <f t="shared" si="13"/>
        <v>15</v>
      </c>
      <c r="S53" s="23">
        <f t="shared" si="13"/>
        <v>60</v>
      </c>
      <c r="T53" s="23">
        <f t="shared" si="13"/>
        <v>5</v>
      </c>
      <c r="U53" s="23">
        <f t="shared" si="13"/>
        <v>36</v>
      </c>
      <c r="V53" s="23">
        <f t="shared" si="13"/>
        <v>12</v>
      </c>
      <c r="W53" s="23">
        <f t="shared" si="13"/>
        <v>17</v>
      </c>
      <c r="X53" s="23">
        <f t="shared" si="13"/>
        <v>0</v>
      </c>
      <c r="Y53" s="23">
        <f t="shared" si="13"/>
        <v>15</v>
      </c>
      <c r="Z53" s="23">
        <f t="shared" si="13"/>
        <v>14</v>
      </c>
      <c r="AA53" s="23">
        <f t="shared" si="14"/>
        <v>500</v>
      </c>
      <c r="AB53" s="23">
        <f t="shared" si="14"/>
        <v>1050</v>
      </c>
      <c r="AC53" s="23">
        <f t="shared" si="14"/>
        <v>400</v>
      </c>
      <c r="AD53" s="23">
        <f t="shared" si="14"/>
        <v>300</v>
      </c>
      <c r="AE53" s="23">
        <f t="shared" si="14"/>
        <v>300</v>
      </c>
      <c r="AF53" s="23">
        <f t="shared" si="14"/>
        <v>200</v>
      </c>
      <c r="AG53" s="23">
        <f t="shared" si="14"/>
        <v>3000</v>
      </c>
      <c r="AH53" s="23">
        <f t="shared" si="14"/>
        <v>1</v>
      </c>
      <c r="AI53" s="23">
        <f t="shared" si="14"/>
        <v>13</v>
      </c>
      <c r="AJ53" s="23">
        <f t="shared" si="14"/>
        <v>10</v>
      </c>
      <c r="AK53" s="23">
        <f t="shared" si="14"/>
        <v>390</v>
      </c>
      <c r="AL53" s="23">
        <f t="shared" si="14"/>
        <v>0</v>
      </c>
      <c r="AM53" s="23">
        <f t="shared" si="14"/>
        <v>0</v>
      </c>
      <c r="AN53" s="23">
        <f t="shared" si="14"/>
        <v>0</v>
      </c>
      <c r="AO53" s="23">
        <f t="shared" si="14"/>
        <v>0</v>
      </c>
    </row>
    <row r="54" spans="3:41" ht="15.6">
      <c r="C54" s="10" t="s">
        <v>93</v>
      </c>
      <c r="D54" s="9" t="s">
        <v>194</v>
      </c>
      <c r="E54" s="11" t="s">
        <v>195</v>
      </c>
      <c r="F54" s="23">
        <f>_xlfn.IFNA(VLOOKUP($D54,Dulieutho,F$2,FALSE),"")</f>
        <v>1272</v>
      </c>
      <c r="G54" s="23">
        <f t="shared" si="12"/>
        <v>124</v>
      </c>
      <c r="H54" s="23">
        <f t="shared" si="12"/>
        <v>270</v>
      </c>
      <c r="I54" s="23">
        <f t="shared" si="12"/>
        <v>312</v>
      </c>
      <c r="J54" s="23">
        <f t="shared" si="12"/>
        <v>720</v>
      </c>
      <c r="K54" s="23">
        <f t="shared" si="12"/>
        <v>960</v>
      </c>
      <c r="L54" s="23">
        <f t="shared" si="12"/>
        <v>120</v>
      </c>
      <c r="M54" s="23">
        <f t="shared" si="12"/>
        <v>1</v>
      </c>
      <c r="N54" s="23">
        <f t="shared" si="12"/>
        <v>1</v>
      </c>
      <c r="O54" s="23">
        <f t="shared" si="12"/>
        <v>2</v>
      </c>
      <c r="P54" s="23">
        <f t="shared" si="12"/>
        <v>0</v>
      </c>
      <c r="Q54" s="23">
        <f t="shared" si="13"/>
        <v>0</v>
      </c>
      <c r="R54" s="23">
        <f t="shared" si="13"/>
        <v>12.5</v>
      </c>
      <c r="S54" s="23">
        <f t="shared" si="13"/>
        <v>48</v>
      </c>
      <c r="T54" s="23">
        <f t="shared" si="13"/>
        <v>0</v>
      </c>
      <c r="U54" s="23">
        <f t="shared" si="13"/>
        <v>0</v>
      </c>
      <c r="V54" s="23">
        <f t="shared" si="13"/>
        <v>12</v>
      </c>
      <c r="W54" s="23">
        <f t="shared" si="13"/>
        <v>15</v>
      </c>
      <c r="X54" s="23">
        <f t="shared" si="13"/>
        <v>0</v>
      </c>
      <c r="Y54" s="23">
        <f t="shared" si="13"/>
        <v>14</v>
      </c>
      <c r="Z54" s="23">
        <f t="shared" si="13"/>
        <v>18</v>
      </c>
      <c r="AA54" s="23">
        <f t="shared" si="14"/>
        <v>1000</v>
      </c>
      <c r="AB54" s="23">
        <f t="shared" si="14"/>
        <v>600</v>
      </c>
      <c r="AC54" s="23">
        <f t="shared" si="14"/>
        <v>200</v>
      </c>
      <c r="AD54" s="23">
        <f t="shared" si="14"/>
        <v>200</v>
      </c>
      <c r="AE54" s="23">
        <f t="shared" si="14"/>
        <v>200</v>
      </c>
      <c r="AF54" s="23">
        <f t="shared" si="14"/>
        <v>100</v>
      </c>
      <c r="AG54" s="23">
        <f t="shared" si="14"/>
        <v>3000</v>
      </c>
      <c r="AH54" s="23">
        <f t="shared" si="14"/>
        <v>0</v>
      </c>
      <c r="AI54" s="23">
        <f t="shared" si="14"/>
        <v>12</v>
      </c>
      <c r="AJ54" s="23">
        <f t="shared" si="14"/>
        <v>6</v>
      </c>
      <c r="AK54" s="23">
        <f t="shared" si="14"/>
        <v>210</v>
      </c>
      <c r="AL54" s="23">
        <f t="shared" si="14"/>
        <v>0</v>
      </c>
      <c r="AM54" s="23">
        <f t="shared" si="14"/>
        <v>1</v>
      </c>
      <c r="AN54" s="23">
        <f t="shared" si="14"/>
        <v>0</v>
      </c>
      <c r="AO54" s="23">
        <f t="shared" si="14"/>
        <v>0</v>
      </c>
    </row>
    <row r="55" spans="3:41" ht="15.6">
      <c r="C55" s="10" t="s">
        <v>93</v>
      </c>
      <c r="D55" s="9" t="s">
        <v>196</v>
      </c>
      <c r="E55" s="11" t="s">
        <v>197</v>
      </c>
      <c r="F55" s="23">
        <f>_xlfn.IFNA(VLOOKUP($D55,Dulieutho,F$2,FALSE),"")</f>
        <v>1224</v>
      </c>
      <c r="G55" s="23">
        <f t="shared" ref="G55:P64" si="15">_xlfn.IFNA(VLOOKUP($D55,Dulieutho,G$2,FALSE),"")</f>
        <v>176</v>
      </c>
      <c r="H55" s="23">
        <f t="shared" si="15"/>
        <v>160</v>
      </c>
      <c r="I55" s="23">
        <f t="shared" si="15"/>
        <v>336</v>
      </c>
      <c r="J55" s="23">
        <f t="shared" si="15"/>
        <v>90</v>
      </c>
      <c r="K55" s="23">
        <f t="shared" si="15"/>
        <v>780</v>
      </c>
      <c r="L55" s="23">
        <f t="shared" si="15"/>
        <v>110</v>
      </c>
      <c r="M55" s="23">
        <f t="shared" si="15"/>
        <v>0</v>
      </c>
      <c r="N55" s="23">
        <f t="shared" si="15"/>
        <v>0</v>
      </c>
      <c r="O55" s="23">
        <f t="shared" si="15"/>
        <v>0</v>
      </c>
      <c r="P55" s="23">
        <f t="shared" si="15"/>
        <v>0</v>
      </c>
      <c r="Q55" s="23">
        <f t="shared" ref="Q55:Z64" si="16">_xlfn.IFNA(VLOOKUP($D55,Dulieutho,Q$2,FALSE),"")</f>
        <v>0</v>
      </c>
      <c r="R55" s="23">
        <f t="shared" si="16"/>
        <v>2</v>
      </c>
      <c r="S55" s="23">
        <f t="shared" si="16"/>
        <v>48</v>
      </c>
      <c r="T55" s="23">
        <f t="shared" si="16"/>
        <v>0</v>
      </c>
      <c r="U55" s="23">
        <f t="shared" si="16"/>
        <v>0</v>
      </c>
      <c r="V55" s="23">
        <f t="shared" si="16"/>
        <v>4</v>
      </c>
      <c r="W55" s="23">
        <f t="shared" si="16"/>
        <v>9</v>
      </c>
      <c r="X55" s="23">
        <f t="shared" si="16"/>
        <v>0</v>
      </c>
      <c r="Y55" s="23">
        <f t="shared" si="16"/>
        <v>1</v>
      </c>
      <c r="Z55" s="23">
        <f t="shared" si="16"/>
        <v>18</v>
      </c>
      <c r="AA55" s="23">
        <f t="shared" ref="AA55:AO64" si="17">_xlfn.IFNA(VLOOKUP($D55,Dulieutho,AA$2,FALSE),"")</f>
        <v>0</v>
      </c>
      <c r="AB55" s="23">
        <f t="shared" si="17"/>
        <v>600</v>
      </c>
      <c r="AC55" s="23">
        <f t="shared" si="17"/>
        <v>0</v>
      </c>
      <c r="AD55" s="23">
        <f t="shared" si="17"/>
        <v>0</v>
      </c>
      <c r="AE55" s="23">
        <f t="shared" si="17"/>
        <v>0</v>
      </c>
      <c r="AF55" s="23">
        <f t="shared" si="17"/>
        <v>200</v>
      </c>
      <c r="AG55" s="23">
        <f t="shared" si="17"/>
        <v>2000</v>
      </c>
      <c r="AH55" s="23">
        <f t="shared" si="17"/>
        <v>1</v>
      </c>
      <c r="AI55" s="23">
        <f t="shared" si="17"/>
        <v>8</v>
      </c>
      <c r="AJ55" s="23">
        <f t="shared" si="17"/>
        <v>5</v>
      </c>
      <c r="AK55" s="23">
        <f t="shared" si="17"/>
        <v>90</v>
      </c>
      <c r="AL55" s="23">
        <f t="shared" si="17"/>
        <v>0</v>
      </c>
      <c r="AM55" s="23">
        <f t="shared" si="17"/>
        <v>2.5</v>
      </c>
      <c r="AN55" s="23">
        <f t="shared" si="17"/>
        <v>0</v>
      </c>
      <c r="AO55" s="23">
        <f t="shared" si="17"/>
        <v>0</v>
      </c>
    </row>
    <row r="56" spans="3:41" ht="15.6">
      <c r="C56" s="10" t="s">
        <v>93</v>
      </c>
      <c r="D56" s="9" t="s">
        <v>198</v>
      </c>
      <c r="E56" s="11" t="s">
        <v>199</v>
      </c>
      <c r="F56" s="23">
        <f>_xlfn.IFNA(VLOOKUP($D56,Dulieutho,F$2,FALSE),"")</f>
        <v>644</v>
      </c>
      <c r="G56" s="23">
        <f t="shared" si="15"/>
        <v>48</v>
      </c>
      <c r="H56" s="23">
        <f t="shared" si="15"/>
        <v>160</v>
      </c>
      <c r="I56" s="23">
        <f t="shared" si="15"/>
        <v>144</v>
      </c>
      <c r="J56" s="23">
        <f t="shared" si="15"/>
        <v>540</v>
      </c>
      <c r="K56" s="23">
        <f t="shared" si="15"/>
        <v>720</v>
      </c>
      <c r="L56" s="23">
        <f t="shared" si="15"/>
        <v>50</v>
      </c>
      <c r="M56" s="23">
        <f t="shared" si="15"/>
        <v>1</v>
      </c>
      <c r="N56" s="23">
        <f t="shared" si="15"/>
        <v>1</v>
      </c>
      <c r="O56" s="23">
        <f t="shared" si="15"/>
        <v>1</v>
      </c>
      <c r="P56" s="23">
        <f t="shared" si="15"/>
        <v>25</v>
      </c>
      <c r="Q56" s="23">
        <f t="shared" si="16"/>
        <v>1</v>
      </c>
      <c r="R56" s="23">
        <f t="shared" si="16"/>
        <v>1</v>
      </c>
      <c r="S56" s="23">
        <f t="shared" si="16"/>
        <v>48</v>
      </c>
      <c r="T56" s="23">
        <f t="shared" si="16"/>
        <v>1</v>
      </c>
      <c r="U56" s="23">
        <f t="shared" si="16"/>
        <v>12</v>
      </c>
      <c r="V56" s="23">
        <f t="shared" si="16"/>
        <v>6</v>
      </c>
      <c r="W56" s="23">
        <f t="shared" si="16"/>
        <v>5</v>
      </c>
      <c r="X56" s="23">
        <f t="shared" si="16"/>
        <v>0</v>
      </c>
      <c r="Y56" s="23">
        <f t="shared" si="16"/>
        <v>1</v>
      </c>
      <c r="Z56" s="23">
        <f t="shared" si="16"/>
        <v>6</v>
      </c>
      <c r="AA56" s="23">
        <f t="shared" si="17"/>
        <v>0</v>
      </c>
      <c r="AB56" s="23">
        <f t="shared" si="17"/>
        <v>300</v>
      </c>
      <c r="AC56" s="23">
        <f t="shared" si="17"/>
        <v>100</v>
      </c>
      <c r="AD56" s="23">
        <f t="shared" si="17"/>
        <v>0</v>
      </c>
      <c r="AE56" s="23">
        <f t="shared" si="17"/>
        <v>200</v>
      </c>
      <c r="AF56" s="23">
        <f t="shared" si="17"/>
        <v>0</v>
      </c>
      <c r="AG56" s="23">
        <f t="shared" si="17"/>
        <v>0</v>
      </c>
      <c r="AH56" s="23">
        <f t="shared" si="17"/>
        <v>0</v>
      </c>
      <c r="AI56" s="23">
        <f t="shared" si="17"/>
        <v>0</v>
      </c>
      <c r="AJ56" s="23">
        <f t="shared" si="17"/>
        <v>3</v>
      </c>
      <c r="AK56" s="23">
        <f t="shared" si="17"/>
        <v>60</v>
      </c>
      <c r="AL56" s="23">
        <f t="shared" si="17"/>
        <v>0</v>
      </c>
      <c r="AM56" s="23">
        <f t="shared" si="17"/>
        <v>0</v>
      </c>
      <c r="AN56" s="23">
        <f t="shared" si="17"/>
        <v>0</v>
      </c>
      <c r="AO56" s="23">
        <f t="shared" si="17"/>
        <v>0</v>
      </c>
    </row>
    <row r="57" spans="3:41" ht="15.6">
      <c r="C57" s="10" t="s">
        <v>93</v>
      </c>
      <c r="D57" s="9" t="s">
        <v>200</v>
      </c>
      <c r="E57" s="11" t="s">
        <v>201</v>
      </c>
      <c r="F57" s="23">
        <f>_xlfn.IFNA(VLOOKUP($D57,Dulieutho,F$2,FALSE),"")</f>
        <v>1012</v>
      </c>
      <c r="G57" s="23">
        <f t="shared" si="15"/>
        <v>72</v>
      </c>
      <c r="H57" s="23">
        <f t="shared" si="15"/>
        <v>120</v>
      </c>
      <c r="I57" s="23">
        <f t="shared" si="15"/>
        <v>120</v>
      </c>
      <c r="J57" s="23">
        <f t="shared" si="15"/>
        <v>270</v>
      </c>
      <c r="K57" s="23">
        <f t="shared" si="15"/>
        <v>780</v>
      </c>
      <c r="L57" s="23">
        <f t="shared" si="15"/>
        <v>70</v>
      </c>
      <c r="M57" s="23">
        <f t="shared" si="15"/>
        <v>0</v>
      </c>
      <c r="N57" s="23">
        <f t="shared" si="15"/>
        <v>1</v>
      </c>
      <c r="O57" s="23">
        <f t="shared" si="15"/>
        <v>0</v>
      </c>
      <c r="P57" s="23">
        <f t="shared" si="15"/>
        <v>0</v>
      </c>
      <c r="Q57" s="23">
        <f t="shared" si="16"/>
        <v>1</v>
      </c>
      <c r="R57" s="23">
        <f t="shared" si="16"/>
        <v>7</v>
      </c>
      <c r="S57" s="23">
        <f t="shared" si="16"/>
        <v>36</v>
      </c>
      <c r="T57" s="23">
        <f t="shared" si="16"/>
        <v>2</v>
      </c>
      <c r="U57" s="23">
        <f t="shared" si="16"/>
        <v>24</v>
      </c>
      <c r="V57" s="23">
        <f t="shared" si="16"/>
        <v>8</v>
      </c>
      <c r="W57" s="23">
        <f t="shared" si="16"/>
        <v>7</v>
      </c>
      <c r="X57" s="23">
        <f t="shared" si="16"/>
        <v>0</v>
      </c>
      <c r="Y57" s="23">
        <f t="shared" si="16"/>
        <v>0</v>
      </c>
      <c r="Z57" s="23">
        <f t="shared" si="16"/>
        <v>10</v>
      </c>
      <c r="AA57" s="23">
        <f t="shared" si="17"/>
        <v>500</v>
      </c>
      <c r="AB57" s="23">
        <f t="shared" si="17"/>
        <v>750</v>
      </c>
      <c r="AC57" s="23">
        <f t="shared" si="17"/>
        <v>100</v>
      </c>
      <c r="AD57" s="23">
        <f t="shared" si="17"/>
        <v>0</v>
      </c>
      <c r="AE57" s="23">
        <f t="shared" si="17"/>
        <v>0</v>
      </c>
      <c r="AF57" s="23">
        <f t="shared" si="17"/>
        <v>100</v>
      </c>
      <c r="AG57" s="23">
        <f t="shared" si="17"/>
        <v>2000</v>
      </c>
      <c r="AH57" s="23">
        <f t="shared" si="17"/>
        <v>1</v>
      </c>
      <c r="AI57" s="23">
        <f t="shared" si="17"/>
        <v>8</v>
      </c>
      <c r="AJ57" s="23">
        <f t="shared" si="17"/>
        <v>6</v>
      </c>
      <c r="AK57" s="23">
        <f t="shared" si="17"/>
        <v>90</v>
      </c>
      <c r="AL57" s="23">
        <f t="shared" si="17"/>
        <v>0</v>
      </c>
      <c r="AM57" s="23">
        <f t="shared" si="17"/>
        <v>0</v>
      </c>
      <c r="AN57" s="23">
        <f t="shared" si="17"/>
        <v>0</v>
      </c>
      <c r="AO57" s="23">
        <f t="shared" si="17"/>
        <v>0</v>
      </c>
    </row>
    <row r="58" spans="3:41" ht="15.6">
      <c r="C58" s="10" t="s">
        <v>93</v>
      </c>
      <c r="D58" s="9" t="s">
        <v>202</v>
      </c>
      <c r="E58" s="11" t="s">
        <v>203</v>
      </c>
      <c r="F58" s="23">
        <f>_xlfn.IFNA(VLOOKUP($D58,Dulieutho,F$2,FALSE),"")</f>
        <v>1828</v>
      </c>
      <c r="G58" s="23">
        <f t="shared" si="15"/>
        <v>136</v>
      </c>
      <c r="H58" s="23">
        <f t="shared" si="15"/>
        <v>350</v>
      </c>
      <c r="I58" s="23">
        <f t="shared" si="15"/>
        <v>144</v>
      </c>
      <c r="J58" s="23">
        <f t="shared" si="15"/>
        <v>450</v>
      </c>
      <c r="K58" s="23">
        <f t="shared" si="15"/>
        <v>1380</v>
      </c>
      <c r="L58" s="23">
        <f t="shared" si="15"/>
        <v>250</v>
      </c>
      <c r="M58" s="23">
        <f t="shared" si="15"/>
        <v>1</v>
      </c>
      <c r="N58" s="23">
        <f t="shared" si="15"/>
        <v>1</v>
      </c>
      <c r="O58" s="23">
        <f t="shared" si="15"/>
        <v>1</v>
      </c>
      <c r="P58" s="23">
        <f t="shared" si="15"/>
        <v>0</v>
      </c>
      <c r="Q58" s="23">
        <f t="shared" si="16"/>
        <v>3</v>
      </c>
      <c r="R58" s="23">
        <f t="shared" si="16"/>
        <v>8</v>
      </c>
      <c r="S58" s="23">
        <f t="shared" si="16"/>
        <v>72</v>
      </c>
      <c r="T58" s="23">
        <f t="shared" si="16"/>
        <v>0</v>
      </c>
      <c r="U58" s="23">
        <f t="shared" si="16"/>
        <v>24</v>
      </c>
      <c r="V58" s="23">
        <f t="shared" si="16"/>
        <v>10</v>
      </c>
      <c r="W58" s="23">
        <f t="shared" si="16"/>
        <v>10</v>
      </c>
      <c r="X58" s="23">
        <f t="shared" si="16"/>
        <v>0</v>
      </c>
      <c r="Y58" s="23">
        <f t="shared" si="16"/>
        <v>3</v>
      </c>
      <c r="Z58" s="23">
        <f t="shared" si="16"/>
        <v>32</v>
      </c>
      <c r="AA58" s="23">
        <f t="shared" si="17"/>
        <v>500</v>
      </c>
      <c r="AB58" s="23">
        <f t="shared" si="17"/>
        <v>1350</v>
      </c>
      <c r="AC58" s="23">
        <f t="shared" si="17"/>
        <v>200</v>
      </c>
      <c r="AD58" s="23">
        <f t="shared" si="17"/>
        <v>0</v>
      </c>
      <c r="AE58" s="23">
        <f t="shared" si="17"/>
        <v>0</v>
      </c>
      <c r="AF58" s="23">
        <f t="shared" si="17"/>
        <v>100</v>
      </c>
      <c r="AG58" s="23">
        <f t="shared" si="17"/>
        <v>2000</v>
      </c>
      <c r="AH58" s="23">
        <f t="shared" si="17"/>
        <v>1</v>
      </c>
      <c r="AI58" s="23">
        <f t="shared" si="17"/>
        <v>8</v>
      </c>
      <c r="AJ58" s="23">
        <f t="shared" si="17"/>
        <v>6</v>
      </c>
      <c r="AK58" s="23">
        <f t="shared" si="17"/>
        <v>150</v>
      </c>
      <c r="AL58" s="23">
        <f t="shared" si="17"/>
        <v>0</v>
      </c>
      <c r="AM58" s="23">
        <f t="shared" si="17"/>
        <v>0</v>
      </c>
      <c r="AN58" s="23">
        <f t="shared" si="17"/>
        <v>0</v>
      </c>
      <c r="AO58" s="23">
        <f t="shared" si="17"/>
        <v>0</v>
      </c>
    </row>
    <row r="59" spans="3:41" ht="15.6">
      <c r="C59" s="10" t="s">
        <v>93</v>
      </c>
      <c r="D59" s="9" t="s">
        <v>204</v>
      </c>
      <c r="E59" s="11" t="s">
        <v>205</v>
      </c>
      <c r="F59" s="23">
        <f>_xlfn.IFNA(VLOOKUP($D59,Dulieutho,F$2,FALSE),"")</f>
        <v>1276</v>
      </c>
      <c r="G59" s="23">
        <f t="shared" si="15"/>
        <v>184</v>
      </c>
      <c r="H59" s="23">
        <f t="shared" si="15"/>
        <v>200</v>
      </c>
      <c r="I59" s="23">
        <f t="shared" si="15"/>
        <v>216</v>
      </c>
      <c r="J59" s="23">
        <f t="shared" si="15"/>
        <v>540</v>
      </c>
      <c r="K59" s="23">
        <f t="shared" si="15"/>
        <v>780</v>
      </c>
      <c r="L59" s="23">
        <f t="shared" si="15"/>
        <v>200</v>
      </c>
      <c r="M59" s="23">
        <f t="shared" si="15"/>
        <v>0</v>
      </c>
      <c r="N59" s="23">
        <f t="shared" si="15"/>
        <v>1</v>
      </c>
      <c r="O59" s="23">
        <f t="shared" si="15"/>
        <v>1.5</v>
      </c>
      <c r="P59" s="23">
        <f t="shared" si="15"/>
        <v>0</v>
      </c>
      <c r="Q59" s="23">
        <f t="shared" si="16"/>
        <v>2</v>
      </c>
      <c r="R59" s="23">
        <f t="shared" si="16"/>
        <v>4</v>
      </c>
      <c r="S59" s="23">
        <f t="shared" si="16"/>
        <v>84</v>
      </c>
      <c r="T59" s="23">
        <f t="shared" si="16"/>
        <v>3</v>
      </c>
      <c r="U59" s="23">
        <f t="shared" si="16"/>
        <v>12</v>
      </c>
      <c r="V59" s="23">
        <f t="shared" si="16"/>
        <v>8</v>
      </c>
      <c r="W59" s="23">
        <f t="shared" si="16"/>
        <v>9</v>
      </c>
      <c r="X59" s="23">
        <f t="shared" si="16"/>
        <v>0</v>
      </c>
      <c r="Y59" s="23">
        <f t="shared" si="16"/>
        <v>4</v>
      </c>
      <c r="Z59" s="23">
        <f t="shared" si="16"/>
        <v>20</v>
      </c>
      <c r="AA59" s="23">
        <f t="shared" si="17"/>
        <v>500</v>
      </c>
      <c r="AB59" s="23">
        <f t="shared" si="17"/>
        <v>900</v>
      </c>
      <c r="AC59" s="23">
        <f t="shared" si="17"/>
        <v>100</v>
      </c>
      <c r="AD59" s="23">
        <f t="shared" si="17"/>
        <v>100</v>
      </c>
      <c r="AE59" s="23">
        <f t="shared" si="17"/>
        <v>100</v>
      </c>
      <c r="AF59" s="23">
        <f t="shared" si="17"/>
        <v>200</v>
      </c>
      <c r="AG59" s="23">
        <f t="shared" si="17"/>
        <v>2000</v>
      </c>
      <c r="AH59" s="23">
        <f t="shared" si="17"/>
        <v>0</v>
      </c>
      <c r="AI59" s="23">
        <f t="shared" si="17"/>
        <v>8</v>
      </c>
      <c r="AJ59" s="23">
        <f t="shared" si="17"/>
        <v>8</v>
      </c>
      <c r="AK59" s="23">
        <f t="shared" si="17"/>
        <v>180</v>
      </c>
      <c r="AL59" s="23">
        <f t="shared" si="17"/>
        <v>0</v>
      </c>
      <c r="AM59" s="23">
        <f t="shared" si="17"/>
        <v>0</v>
      </c>
      <c r="AN59" s="23">
        <f t="shared" si="17"/>
        <v>1</v>
      </c>
      <c r="AO59" s="23">
        <f t="shared" si="17"/>
        <v>0</v>
      </c>
    </row>
    <row r="60" spans="3:41" ht="15.6">
      <c r="C60" s="10" t="s">
        <v>93</v>
      </c>
      <c r="D60" s="9" t="s">
        <v>206</v>
      </c>
      <c r="E60" s="11" t="s">
        <v>207</v>
      </c>
      <c r="F60" s="23">
        <f>_xlfn.IFNA(VLOOKUP($D60,Dulieutho,F$2,FALSE),"")</f>
        <v>828</v>
      </c>
      <c r="G60" s="23">
        <f t="shared" si="15"/>
        <v>76</v>
      </c>
      <c r="H60" s="23">
        <f t="shared" si="15"/>
        <v>210</v>
      </c>
      <c r="I60" s="23">
        <f t="shared" si="15"/>
        <v>336</v>
      </c>
      <c r="J60" s="23">
        <f t="shared" si="15"/>
        <v>360</v>
      </c>
      <c r="K60" s="23">
        <f t="shared" si="15"/>
        <v>600</v>
      </c>
      <c r="L60" s="23">
        <f t="shared" si="15"/>
        <v>110</v>
      </c>
      <c r="M60" s="23">
        <f t="shared" si="15"/>
        <v>0</v>
      </c>
      <c r="N60" s="23">
        <f t="shared" si="15"/>
        <v>1</v>
      </c>
      <c r="O60" s="23">
        <f t="shared" si="15"/>
        <v>1</v>
      </c>
      <c r="P60" s="23">
        <f t="shared" si="15"/>
        <v>25</v>
      </c>
      <c r="Q60" s="23">
        <f t="shared" si="16"/>
        <v>2</v>
      </c>
      <c r="R60" s="23">
        <f t="shared" si="16"/>
        <v>4</v>
      </c>
      <c r="S60" s="23">
        <f t="shared" si="16"/>
        <v>36</v>
      </c>
      <c r="T60" s="23">
        <f t="shared" si="16"/>
        <v>1</v>
      </c>
      <c r="U60" s="23">
        <f t="shared" si="16"/>
        <v>0</v>
      </c>
      <c r="V60" s="23">
        <f t="shared" si="16"/>
        <v>8</v>
      </c>
      <c r="W60" s="23">
        <f t="shared" si="16"/>
        <v>5</v>
      </c>
      <c r="X60" s="23">
        <f t="shared" si="16"/>
        <v>0</v>
      </c>
      <c r="Y60" s="23">
        <f t="shared" si="16"/>
        <v>8</v>
      </c>
      <c r="Z60" s="23">
        <f t="shared" si="16"/>
        <v>6</v>
      </c>
      <c r="AA60" s="23">
        <f t="shared" si="17"/>
        <v>0</v>
      </c>
      <c r="AB60" s="23">
        <f t="shared" si="17"/>
        <v>600</v>
      </c>
      <c r="AC60" s="23">
        <f t="shared" si="17"/>
        <v>0</v>
      </c>
      <c r="AD60" s="23">
        <f t="shared" si="17"/>
        <v>100</v>
      </c>
      <c r="AE60" s="23">
        <f t="shared" si="17"/>
        <v>100</v>
      </c>
      <c r="AF60" s="23">
        <f t="shared" si="17"/>
        <v>100</v>
      </c>
      <c r="AG60" s="23">
        <f t="shared" si="17"/>
        <v>1000</v>
      </c>
      <c r="AH60" s="23">
        <f t="shared" si="17"/>
        <v>0</v>
      </c>
      <c r="AI60" s="23">
        <f t="shared" si="17"/>
        <v>4</v>
      </c>
      <c r="AJ60" s="23">
        <f t="shared" si="17"/>
        <v>6</v>
      </c>
      <c r="AK60" s="23">
        <f t="shared" si="17"/>
        <v>90</v>
      </c>
      <c r="AL60" s="23">
        <f t="shared" si="17"/>
        <v>0</v>
      </c>
      <c r="AM60" s="23">
        <f t="shared" si="17"/>
        <v>0</v>
      </c>
      <c r="AN60" s="23">
        <f t="shared" si="17"/>
        <v>0</v>
      </c>
      <c r="AO60" s="23">
        <f t="shared" si="17"/>
        <v>0</v>
      </c>
    </row>
    <row r="61" spans="3:41" ht="15.6">
      <c r="C61" s="10" t="s">
        <v>93</v>
      </c>
      <c r="D61" s="9" t="s">
        <v>208</v>
      </c>
      <c r="E61" s="11" t="s">
        <v>209</v>
      </c>
      <c r="F61" s="23">
        <f>_xlfn.IFNA(VLOOKUP($D61,Dulieutho,F$2,FALSE),"")</f>
        <v>1800</v>
      </c>
      <c r="G61" s="23">
        <f t="shared" si="15"/>
        <v>128</v>
      </c>
      <c r="H61" s="23">
        <f t="shared" si="15"/>
        <v>120</v>
      </c>
      <c r="I61" s="23">
        <f t="shared" si="15"/>
        <v>96</v>
      </c>
      <c r="J61" s="23">
        <f t="shared" si="15"/>
        <v>720</v>
      </c>
      <c r="K61" s="23">
        <f t="shared" si="15"/>
        <v>1200</v>
      </c>
      <c r="L61" s="23">
        <f t="shared" si="15"/>
        <v>130</v>
      </c>
      <c r="M61" s="23">
        <f t="shared" si="15"/>
        <v>0</v>
      </c>
      <c r="N61" s="23">
        <f t="shared" si="15"/>
        <v>1</v>
      </c>
      <c r="O61" s="23">
        <f t="shared" si="15"/>
        <v>0.5</v>
      </c>
      <c r="P61" s="23">
        <f t="shared" si="15"/>
        <v>0</v>
      </c>
      <c r="Q61" s="23">
        <f t="shared" si="16"/>
        <v>1</v>
      </c>
      <c r="R61" s="23">
        <f t="shared" si="16"/>
        <v>7</v>
      </c>
      <c r="S61" s="23">
        <f t="shared" si="16"/>
        <v>120</v>
      </c>
      <c r="T61" s="23">
        <f t="shared" si="16"/>
        <v>5</v>
      </c>
      <c r="U61" s="23">
        <f t="shared" si="16"/>
        <v>12</v>
      </c>
      <c r="V61" s="23">
        <f t="shared" si="16"/>
        <v>12</v>
      </c>
      <c r="W61" s="23">
        <f t="shared" si="16"/>
        <v>7</v>
      </c>
      <c r="X61" s="23">
        <f t="shared" si="16"/>
        <v>0</v>
      </c>
      <c r="Y61" s="23">
        <f t="shared" si="16"/>
        <v>1</v>
      </c>
      <c r="Z61" s="23">
        <f t="shared" si="16"/>
        <v>12</v>
      </c>
      <c r="AA61" s="23">
        <f t="shared" si="17"/>
        <v>500</v>
      </c>
      <c r="AB61" s="23">
        <f t="shared" si="17"/>
        <v>1200</v>
      </c>
      <c r="AC61" s="23">
        <f t="shared" si="17"/>
        <v>0</v>
      </c>
      <c r="AD61" s="23">
        <f t="shared" si="17"/>
        <v>0</v>
      </c>
      <c r="AE61" s="23">
        <f t="shared" si="17"/>
        <v>100</v>
      </c>
      <c r="AF61" s="23">
        <f t="shared" si="17"/>
        <v>200</v>
      </c>
      <c r="AG61" s="23">
        <f t="shared" si="17"/>
        <v>2000</v>
      </c>
      <c r="AH61" s="23">
        <f t="shared" si="17"/>
        <v>1</v>
      </c>
      <c r="AI61" s="23">
        <f t="shared" si="17"/>
        <v>8</v>
      </c>
      <c r="AJ61" s="23">
        <f t="shared" si="17"/>
        <v>8</v>
      </c>
      <c r="AK61" s="23">
        <f t="shared" si="17"/>
        <v>120</v>
      </c>
      <c r="AL61" s="23">
        <f t="shared" si="17"/>
        <v>0</v>
      </c>
      <c r="AM61" s="23">
        <f t="shared" si="17"/>
        <v>0</v>
      </c>
      <c r="AN61" s="23">
        <f t="shared" si="17"/>
        <v>0</v>
      </c>
      <c r="AO61" s="23">
        <f t="shared" si="17"/>
        <v>100</v>
      </c>
    </row>
    <row r="62" spans="3:41" ht="15.6">
      <c r="C62" s="10" t="s">
        <v>93</v>
      </c>
      <c r="D62" s="9" t="s">
        <v>210</v>
      </c>
      <c r="E62" s="11" t="s">
        <v>211</v>
      </c>
      <c r="F62" s="23">
        <f>_xlfn.IFNA(VLOOKUP($D62,Dulieutho,F$2,FALSE),"")</f>
        <v>1540</v>
      </c>
      <c r="G62" s="23">
        <f t="shared" si="15"/>
        <v>312</v>
      </c>
      <c r="H62" s="23">
        <f t="shared" si="15"/>
        <v>430</v>
      </c>
      <c r="I62" s="23">
        <f t="shared" si="15"/>
        <v>480</v>
      </c>
      <c r="J62" s="23">
        <f t="shared" si="15"/>
        <v>990</v>
      </c>
      <c r="K62" s="23">
        <f t="shared" si="15"/>
        <v>1140</v>
      </c>
      <c r="L62" s="23">
        <f t="shared" si="15"/>
        <v>240</v>
      </c>
      <c r="M62" s="23">
        <f t="shared" si="15"/>
        <v>2</v>
      </c>
      <c r="N62" s="23">
        <f t="shared" si="15"/>
        <v>0</v>
      </c>
      <c r="O62" s="23">
        <f t="shared" si="15"/>
        <v>2</v>
      </c>
      <c r="P62" s="23">
        <f t="shared" si="15"/>
        <v>25</v>
      </c>
      <c r="Q62" s="23">
        <f t="shared" si="16"/>
        <v>4</v>
      </c>
      <c r="R62" s="23">
        <f t="shared" si="16"/>
        <v>33</v>
      </c>
      <c r="S62" s="23">
        <f t="shared" si="16"/>
        <v>96</v>
      </c>
      <c r="T62" s="23">
        <f t="shared" si="16"/>
        <v>8</v>
      </c>
      <c r="U62" s="23">
        <f t="shared" si="16"/>
        <v>0</v>
      </c>
      <c r="V62" s="23">
        <f t="shared" si="16"/>
        <v>14</v>
      </c>
      <c r="W62" s="23">
        <f t="shared" si="16"/>
        <v>14</v>
      </c>
      <c r="X62" s="23">
        <f t="shared" si="16"/>
        <v>1.5</v>
      </c>
      <c r="Y62" s="23">
        <f t="shared" si="16"/>
        <v>2</v>
      </c>
      <c r="Z62" s="23">
        <f t="shared" si="16"/>
        <v>8</v>
      </c>
      <c r="AA62" s="23">
        <f t="shared" si="17"/>
        <v>500</v>
      </c>
      <c r="AB62" s="23">
        <f t="shared" si="17"/>
        <v>1200</v>
      </c>
      <c r="AC62" s="23">
        <f t="shared" si="17"/>
        <v>0</v>
      </c>
      <c r="AD62" s="23">
        <f t="shared" si="17"/>
        <v>300</v>
      </c>
      <c r="AE62" s="23">
        <f t="shared" si="17"/>
        <v>500</v>
      </c>
      <c r="AF62" s="23">
        <f t="shared" si="17"/>
        <v>400</v>
      </c>
      <c r="AG62" s="23">
        <f t="shared" si="17"/>
        <v>2000</v>
      </c>
      <c r="AH62" s="23">
        <f t="shared" si="17"/>
        <v>0</v>
      </c>
      <c r="AI62" s="23">
        <f t="shared" si="17"/>
        <v>8</v>
      </c>
      <c r="AJ62" s="23">
        <f t="shared" si="17"/>
        <v>9</v>
      </c>
      <c r="AK62" s="23">
        <f t="shared" si="17"/>
        <v>300</v>
      </c>
      <c r="AL62" s="23">
        <f t="shared" si="17"/>
        <v>0</v>
      </c>
      <c r="AM62" s="23">
        <f t="shared" si="17"/>
        <v>1</v>
      </c>
      <c r="AN62" s="23">
        <f t="shared" si="17"/>
        <v>0</v>
      </c>
      <c r="AO62" s="23">
        <f t="shared" si="17"/>
        <v>2000</v>
      </c>
    </row>
    <row r="63" spans="3:41" ht="15.6">
      <c r="C63" s="10" t="s">
        <v>93</v>
      </c>
      <c r="D63" s="9" t="s">
        <v>212</v>
      </c>
      <c r="E63" s="11" t="s">
        <v>213</v>
      </c>
      <c r="F63" s="23">
        <f>_xlfn.IFNA(VLOOKUP($D63,Dulieutho,F$2,FALSE),"")</f>
        <v>680</v>
      </c>
      <c r="G63" s="23">
        <f t="shared" si="15"/>
        <v>252</v>
      </c>
      <c r="H63" s="23">
        <f t="shared" si="15"/>
        <v>260</v>
      </c>
      <c r="I63" s="23">
        <f t="shared" si="15"/>
        <v>312</v>
      </c>
      <c r="J63" s="23">
        <f t="shared" si="15"/>
        <v>360</v>
      </c>
      <c r="K63" s="23">
        <f t="shared" si="15"/>
        <v>480</v>
      </c>
      <c r="L63" s="23">
        <f t="shared" si="15"/>
        <v>260</v>
      </c>
      <c r="M63" s="23">
        <f t="shared" si="15"/>
        <v>1</v>
      </c>
      <c r="N63" s="23">
        <f t="shared" si="15"/>
        <v>2</v>
      </c>
      <c r="O63" s="23">
        <f t="shared" si="15"/>
        <v>2</v>
      </c>
      <c r="P63" s="23">
        <f t="shared" si="15"/>
        <v>25</v>
      </c>
      <c r="Q63" s="23">
        <f t="shared" si="16"/>
        <v>3</v>
      </c>
      <c r="R63" s="23">
        <f t="shared" si="16"/>
        <v>9</v>
      </c>
      <c r="S63" s="23">
        <f t="shared" si="16"/>
        <v>24</v>
      </c>
      <c r="T63" s="23">
        <f t="shared" si="16"/>
        <v>4</v>
      </c>
      <c r="U63" s="23">
        <f t="shared" si="16"/>
        <v>24</v>
      </c>
      <c r="V63" s="23">
        <f t="shared" si="16"/>
        <v>14</v>
      </c>
      <c r="W63" s="23">
        <f t="shared" si="16"/>
        <v>5</v>
      </c>
      <c r="X63" s="23">
        <f t="shared" si="16"/>
        <v>0.5</v>
      </c>
      <c r="Y63" s="23">
        <f t="shared" si="16"/>
        <v>0</v>
      </c>
      <c r="Z63" s="23">
        <f t="shared" si="16"/>
        <v>6</v>
      </c>
      <c r="AA63" s="23">
        <f t="shared" si="17"/>
        <v>500</v>
      </c>
      <c r="AB63" s="23">
        <f t="shared" si="17"/>
        <v>300</v>
      </c>
      <c r="AC63" s="23">
        <f t="shared" si="17"/>
        <v>0</v>
      </c>
      <c r="AD63" s="23">
        <f t="shared" si="17"/>
        <v>200</v>
      </c>
      <c r="AE63" s="23">
        <f t="shared" si="17"/>
        <v>200</v>
      </c>
      <c r="AF63" s="23">
        <f t="shared" si="17"/>
        <v>300</v>
      </c>
      <c r="AG63" s="23">
        <f t="shared" si="17"/>
        <v>1000</v>
      </c>
      <c r="AH63" s="23">
        <f t="shared" si="17"/>
        <v>0</v>
      </c>
      <c r="AI63" s="23">
        <f t="shared" si="17"/>
        <v>4</v>
      </c>
      <c r="AJ63" s="23">
        <f t="shared" si="17"/>
        <v>6</v>
      </c>
      <c r="AK63" s="23">
        <f t="shared" si="17"/>
        <v>90</v>
      </c>
      <c r="AL63" s="23">
        <f t="shared" si="17"/>
        <v>0</v>
      </c>
      <c r="AM63" s="23">
        <f t="shared" si="17"/>
        <v>0</v>
      </c>
      <c r="AN63" s="23">
        <f t="shared" si="17"/>
        <v>1</v>
      </c>
      <c r="AO63" s="23">
        <f t="shared" si="17"/>
        <v>0</v>
      </c>
    </row>
    <row r="64" spans="3:41" ht="15.6">
      <c r="C64" s="10" t="s">
        <v>93</v>
      </c>
      <c r="D64" s="9" t="s">
        <v>214</v>
      </c>
      <c r="E64" s="11" t="s">
        <v>215</v>
      </c>
      <c r="F64" s="23">
        <f>_xlfn.IFNA(VLOOKUP($D64,Dulieutho,F$2,FALSE),"")</f>
        <v>680</v>
      </c>
      <c r="G64" s="23">
        <f t="shared" si="15"/>
        <v>52</v>
      </c>
      <c r="H64" s="23">
        <f t="shared" si="15"/>
        <v>180</v>
      </c>
      <c r="I64" s="23">
        <f t="shared" si="15"/>
        <v>120</v>
      </c>
      <c r="J64" s="23">
        <f t="shared" si="15"/>
        <v>360</v>
      </c>
      <c r="K64" s="23">
        <f t="shared" si="15"/>
        <v>480</v>
      </c>
      <c r="L64" s="23">
        <f t="shared" si="15"/>
        <v>60</v>
      </c>
      <c r="M64" s="23">
        <f t="shared" si="15"/>
        <v>0</v>
      </c>
      <c r="N64" s="23">
        <f t="shared" si="15"/>
        <v>0</v>
      </c>
      <c r="O64" s="23">
        <f t="shared" si="15"/>
        <v>0.5</v>
      </c>
      <c r="P64" s="23">
        <f t="shared" si="15"/>
        <v>0</v>
      </c>
      <c r="Q64" s="23">
        <f t="shared" si="16"/>
        <v>3</v>
      </c>
      <c r="R64" s="23">
        <f t="shared" si="16"/>
        <v>6</v>
      </c>
      <c r="S64" s="23">
        <f t="shared" si="16"/>
        <v>24</v>
      </c>
      <c r="T64" s="23">
        <f t="shared" si="16"/>
        <v>0</v>
      </c>
      <c r="U64" s="23">
        <f t="shared" si="16"/>
        <v>12</v>
      </c>
      <c r="V64" s="23">
        <f t="shared" si="16"/>
        <v>8</v>
      </c>
      <c r="W64" s="23">
        <f t="shared" si="16"/>
        <v>2</v>
      </c>
      <c r="X64" s="23">
        <f t="shared" si="16"/>
        <v>0</v>
      </c>
      <c r="Y64" s="23">
        <f t="shared" si="16"/>
        <v>4</v>
      </c>
      <c r="Z64" s="23">
        <f t="shared" si="16"/>
        <v>8</v>
      </c>
      <c r="AA64" s="23">
        <f t="shared" si="17"/>
        <v>0</v>
      </c>
      <c r="AB64" s="23">
        <f t="shared" si="17"/>
        <v>600</v>
      </c>
      <c r="AC64" s="23">
        <f t="shared" si="17"/>
        <v>100</v>
      </c>
      <c r="AD64" s="23">
        <f t="shared" si="17"/>
        <v>100</v>
      </c>
      <c r="AE64" s="23">
        <f t="shared" si="17"/>
        <v>200</v>
      </c>
      <c r="AF64" s="23">
        <f t="shared" si="17"/>
        <v>0</v>
      </c>
      <c r="AG64" s="23">
        <f t="shared" si="17"/>
        <v>1000</v>
      </c>
      <c r="AH64" s="23">
        <f t="shared" si="17"/>
        <v>0</v>
      </c>
      <c r="AI64" s="23">
        <f t="shared" si="17"/>
        <v>4</v>
      </c>
      <c r="AJ64" s="23">
        <f t="shared" si="17"/>
        <v>4</v>
      </c>
      <c r="AK64" s="23">
        <f t="shared" si="17"/>
        <v>90</v>
      </c>
      <c r="AL64" s="23">
        <f t="shared" si="17"/>
        <v>0</v>
      </c>
      <c r="AM64" s="23">
        <f t="shared" si="17"/>
        <v>0</v>
      </c>
      <c r="AN64" s="23">
        <f t="shared" si="17"/>
        <v>0</v>
      </c>
      <c r="AO64" s="23">
        <f t="shared" si="17"/>
        <v>0</v>
      </c>
    </row>
    <row r="65" spans="3:41" ht="15.6">
      <c r="C65" s="10" t="s">
        <v>93</v>
      </c>
      <c r="D65" s="9" t="s">
        <v>216</v>
      </c>
      <c r="E65" s="11" t="s">
        <v>217</v>
      </c>
      <c r="F65" s="23">
        <f>_xlfn.IFNA(VLOOKUP($D65,Dulieutho,F$2,FALSE),"")</f>
        <v>1456</v>
      </c>
      <c r="G65" s="23">
        <f t="shared" ref="G65:P74" si="18">_xlfn.IFNA(VLOOKUP($D65,Dulieutho,G$2,FALSE),"")</f>
        <v>176</v>
      </c>
      <c r="H65" s="23">
        <f t="shared" si="18"/>
        <v>20</v>
      </c>
      <c r="I65" s="23">
        <f t="shared" si="18"/>
        <v>48</v>
      </c>
      <c r="J65" s="23">
        <f t="shared" si="18"/>
        <v>450</v>
      </c>
      <c r="K65" s="23">
        <f t="shared" si="18"/>
        <v>720</v>
      </c>
      <c r="L65" s="23">
        <f t="shared" si="18"/>
        <v>280</v>
      </c>
      <c r="M65" s="23">
        <f t="shared" si="18"/>
        <v>2</v>
      </c>
      <c r="N65" s="23">
        <f t="shared" si="18"/>
        <v>0</v>
      </c>
      <c r="O65" s="23">
        <f t="shared" si="18"/>
        <v>2.5</v>
      </c>
      <c r="P65" s="23">
        <f t="shared" si="18"/>
        <v>0</v>
      </c>
      <c r="Q65" s="23">
        <f t="shared" ref="Q65:Z74" si="19">_xlfn.IFNA(VLOOKUP($D65,Dulieutho,Q$2,FALSE),"")</f>
        <v>5</v>
      </c>
      <c r="R65" s="23">
        <f t="shared" si="19"/>
        <v>10</v>
      </c>
      <c r="S65" s="23">
        <f t="shared" si="19"/>
        <v>72</v>
      </c>
      <c r="T65" s="23">
        <f t="shared" si="19"/>
        <v>1</v>
      </c>
      <c r="U65" s="23">
        <f t="shared" si="19"/>
        <v>12</v>
      </c>
      <c r="V65" s="23">
        <f t="shared" si="19"/>
        <v>16</v>
      </c>
      <c r="W65" s="23">
        <f t="shared" si="19"/>
        <v>13</v>
      </c>
      <c r="X65" s="23">
        <f t="shared" si="19"/>
        <v>0</v>
      </c>
      <c r="Y65" s="23">
        <f t="shared" si="19"/>
        <v>1</v>
      </c>
      <c r="Z65" s="23">
        <f t="shared" si="19"/>
        <v>12</v>
      </c>
      <c r="AA65" s="23">
        <f t="shared" ref="AA65:AO74" si="20">_xlfn.IFNA(VLOOKUP($D65,Dulieutho,AA$2,FALSE),"")</f>
        <v>0</v>
      </c>
      <c r="AB65" s="23">
        <f t="shared" si="20"/>
        <v>1650</v>
      </c>
      <c r="AC65" s="23">
        <f t="shared" si="20"/>
        <v>0</v>
      </c>
      <c r="AD65" s="23">
        <f t="shared" si="20"/>
        <v>0</v>
      </c>
      <c r="AE65" s="23">
        <f t="shared" si="20"/>
        <v>0</v>
      </c>
      <c r="AF65" s="23">
        <f t="shared" si="20"/>
        <v>100</v>
      </c>
      <c r="AG65" s="23">
        <f t="shared" si="20"/>
        <v>3000</v>
      </c>
      <c r="AH65" s="23">
        <f t="shared" si="20"/>
        <v>1</v>
      </c>
      <c r="AI65" s="23">
        <f t="shared" si="20"/>
        <v>12</v>
      </c>
      <c r="AJ65" s="23">
        <f t="shared" si="20"/>
        <v>22</v>
      </c>
      <c r="AK65" s="23">
        <f t="shared" si="20"/>
        <v>120</v>
      </c>
      <c r="AL65" s="23">
        <f t="shared" si="20"/>
        <v>60</v>
      </c>
      <c r="AM65" s="23">
        <f t="shared" si="20"/>
        <v>0.5</v>
      </c>
      <c r="AN65" s="23">
        <f t="shared" si="20"/>
        <v>0</v>
      </c>
      <c r="AO65" s="23">
        <f t="shared" si="20"/>
        <v>0</v>
      </c>
    </row>
    <row r="66" spans="3:41" ht="15.6">
      <c r="C66" s="10" t="s">
        <v>219</v>
      </c>
      <c r="D66" s="9" t="s">
        <v>218</v>
      </c>
      <c r="E66" s="11" t="s">
        <v>220</v>
      </c>
      <c r="F66" s="23">
        <f>_xlfn.IFNA(VLOOKUP($D66,Dulieutho,F$2,FALSE),"")</f>
        <v>844</v>
      </c>
      <c r="G66" s="23">
        <f t="shared" si="18"/>
        <v>128</v>
      </c>
      <c r="H66" s="23">
        <f t="shared" si="18"/>
        <v>350</v>
      </c>
      <c r="I66" s="23">
        <f t="shared" si="18"/>
        <v>336</v>
      </c>
      <c r="J66" s="23">
        <f t="shared" si="18"/>
        <v>540</v>
      </c>
      <c r="K66" s="23">
        <f t="shared" si="18"/>
        <v>480</v>
      </c>
      <c r="L66" s="23">
        <f t="shared" si="18"/>
        <v>150</v>
      </c>
      <c r="M66" s="23">
        <f t="shared" si="18"/>
        <v>0</v>
      </c>
      <c r="N66" s="23">
        <f t="shared" si="18"/>
        <v>1</v>
      </c>
      <c r="O66" s="23">
        <f t="shared" si="18"/>
        <v>1.5</v>
      </c>
      <c r="P66" s="23">
        <f t="shared" si="18"/>
        <v>25</v>
      </c>
      <c r="Q66" s="23">
        <f t="shared" si="19"/>
        <v>2</v>
      </c>
      <c r="R66" s="23">
        <f t="shared" si="19"/>
        <v>9.5</v>
      </c>
      <c r="S66" s="23">
        <f t="shared" si="19"/>
        <v>48</v>
      </c>
      <c r="T66" s="23">
        <f t="shared" si="19"/>
        <v>3</v>
      </c>
      <c r="U66" s="23">
        <f t="shared" si="19"/>
        <v>0</v>
      </c>
      <c r="V66" s="23">
        <f t="shared" si="19"/>
        <v>10</v>
      </c>
      <c r="W66" s="23">
        <f t="shared" si="19"/>
        <v>5</v>
      </c>
      <c r="X66" s="23">
        <f t="shared" si="19"/>
        <v>0.5</v>
      </c>
      <c r="Y66" s="23">
        <f t="shared" si="19"/>
        <v>1</v>
      </c>
      <c r="Z66" s="23">
        <f t="shared" si="19"/>
        <v>6</v>
      </c>
      <c r="AA66" s="23">
        <f t="shared" si="20"/>
        <v>500</v>
      </c>
      <c r="AB66" s="23">
        <f t="shared" si="20"/>
        <v>600</v>
      </c>
      <c r="AC66" s="23">
        <f t="shared" si="20"/>
        <v>200</v>
      </c>
      <c r="AD66" s="23">
        <f t="shared" si="20"/>
        <v>200</v>
      </c>
      <c r="AE66" s="23">
        <f t="shared" si="20"/>
        <v>100</v>
      </c>
      <c r="AF66" s="23">
        <f t="shared" si="20"/>
        <v>100</v>
      </c>
      <c r="AG66" s="23">
        <f t="shared" si="20"/>
        <v>1000</v>
      </c>
      <c r="AH66" s="23">
        <f t="shared" si="20"/>
        <v>0</v>
      </c>
      <c r="AI66" s="23">
        <f t="shared" si="20"/>
        <v>4</v>
      </c>
      <c r="AJ66" s="23">
        <f t="shared" si="20"/>
        <v>6</v>
      </c>
      <c r="AK66" s="23">
        <f t="shared" si="20"/>
        <v>180</v>
      </c>
      <c r="AL66" s="23">
        <f t="shared" si="20"/>
        <v>0</v>
      </c>
      <c r="AM66" s="23">
        <f t="shared" si="20"/>
        <v>0.5</v>
      </c>
      <c r="AN66" s="23">
        <f t="shared" si="20"/>
        <v>0</v>
      </c>
      <c r="AO66" s="23">
        <f t="shared" si="20"/>
        <v>0</v>
      </c>
    </row>
    <row r="67" spans="3:41" ht="15.6">
      <c r="C67" s="10" t="s">
        <v>219</v>
      </c>
      <c r="D67" s="9" t="s">
        <v>221</v>
      </c>
      <c r="E67" s="11" t="s">
        <v>222</v>
      </c>
      <c r="F67" s="23">
        <f>_xlfn.IFNA(VLOOKUP($D67,Dulieutho,F$2,FALSE),"")</f>
        <v>632</v>
      </c>
      <c r="G67" s="23">
        <f t="shared" si="18"/>
        <v>40</v>
      </c>
      <c r="H67" s="23">
        <f t="shared" si="18"/>
        <v>260</v>
      </c>
      <c r="I67" s="23">
        <f t="shared" si="18"/>
        <v>168</v>
      </c>
      <c r="J67" s="23">
        <f t="shared" si="18"/>
        <v>270</v>
      </c>
      <c r="K67" s="23">
        <f t="shared" si="18"/>
        <v>540</v>
      </c>
      <c r="L67" s="23">
        <f t="shared" si="18"/>
        <v>40</v>
      </c>
      <c r="M67" s="23">
        <f t="shared" si="18"/>
        <v>0</v>
      </c>
      <c r="N67" s="23">
        <f t="shared" si="18"/>
        <v>0</v>
      </c>
      <c r="O67" s="23">
        <f t="shared" si="18"/>
        <v>1</v>
      </c>
      <c r="P67" s="23">
        <f t="shared" si="18"/>
        <v>0</v>
      </c>
      <c r="Q67" s="23">
        <f t="shared" si="19"/>
        <v>1</v>
      </c>
      <c r="R67" s="23">
        <f t="shared" si="19"/>
        <v>6</v>
      </c>
      <c r="S67" s="23">
        <f t="shared" si="19"/>
        <v>24</v>
      </c>
      <c r="T67" s="23">
        <f t="shared" si="19"/>
        <v>2</v>
      </c>
      <c r="U67" s="23">
        <f t="shared" si="19"/>
        <v>12</v>
      </c>
      <c r="V67" s="23">
        <f t="shared" si="19"/>
        <v>8</v>
      </c>
      <c r="W67" s="23">
        <f t="shared" si="19"/>
        <v>5</v>
      </c>
      <c r="X67" s="23">
        <f t="shared" si="19"/>
        <v>0</v>
      </c>
      <c r="Y67" s="23">
        <f t="shared" si="19"/>
        <v>3</v>
      </c>
      <c r="Z67" s="23">
        <f t="shared" si="19"/>
        <v>12</v>
      </c>
      <c r="AA67" s="23">
        <f t="shared" si="20"/>
        <v>500</v>
      </c>
      <c r="AB67" s="23">
        <f t="shared" si="20"/>
        <v>450</v>
      </c>
      <c r="AC67" s="23">
        <f t="shared" si="20"/>
        <v>200</v>
      </c>
      <c r="AD67" s="23">
        <f t="shared" si="20"/>
        <v>100</v>
      </c>
      <c r="AE67" s="23">
        <f t="shared" si="20"/>
        <v>100</v>
      </c>
      <c r="AF67" s="23">
        <f t="shared" si="20"/>
        <v>0</v>
      </c>
      <c r="AG67" s="23">
        <f t="shared" si="20"/>
        <v>1000</v>
      </c>
      <c r="AH67" s="23">
        <f t="shared" si="20"/>
        <v>1</v>
      </c>
      <c r="AI67" s="23">
        <f t="shared" si="20"/>
        <v>4</v>
      </c>
      <c r="AJ67" s="23">
        <f t="shared" si="20"/>
        <v>4</v>
      </c>
      <c r="AK67" s="23">
        <f t="shared" si="20"/>
        <v>60</v>
      </c>
      <c r="AL67" s="23">
        <f t="shared" si="20"/>
        <v>0</v>
      </c>
      <c r="AM67" s="23">
        <f t="shared" si="20"/>
        <v>0</v>
      </c>
      <c r="AN67" s="23">
        <f t="shared" si="20"/>
        <v>0</v>
      </c>
      <c r="AO67" s="23">
        <f t="shared" si="20"/>
        <v>0</v>
      </c>
    </row>
    <row r="68" spans="3:41" ht="15.6">
      <c r="C68" s="10" t="s">
        <v>219</v>
      </c>
      <c r="D68" s="9" t="s">
        <v>223</v>
      </c>
      <c r="E68" s="11" t="s">
        <v>224</v>
      </c>
      <c r="F68" s="23">
        <f>_xlfn.IFNA(VLOOKUP($D68,Dulieutho,F$2,FALSE),"")</f>
        <v>660</v>
      </c>
      <c r="G68" s="23">
        <f t="shared" si="18"/>
        <v>56</v>
      </c>
      <c r="H68" s="23">
        <f t="shared" si="18"/>
        <v>90</v>
      </c>
      <c r="I68" s="23">
        <f t="shared" si="18"/>
        <v>0</v>
      </c>
      <c r="J68" s="23">
        <f t="shared" si="18"/>
        <v>270</v>
      </c>
      <c r="K68" s="23">
        <f t="shared" si="18"/>
        <v>420</v>
      </c>
      <c r="L68" s="23">
        <f t="shared" si="18"/>
        <v>60</v>
      </c>
      <c r="M68" s="23">
        <f t="shared" si="18"/>
        <v>0</v>
      </c>
      <c r="N68" s="23">
        <f t="shared" si="18"/>
        <v>0</v>
      </c>
      <c r="O68" s="23">
        <f t="shared" si="18"/>
        <v>0</v>
      </c>
      <c r="P68" s="23">
        <f t="shared" si="18"/>
        <v>0</v>
      </c>
      <c r="Q68" s="23">
        <f t="shared" si="19"/>
        <v>1</v>
      </c>
      <c r="R68" s="23">
        <f t="shared" si="19"/>
        <v>0</v>
      </c>
      <c r="S68" s="23">
        <f t="shared" si="19"/>
        <v>36</v>
      </c>
      <c r="T68" s="23">
        <f t="shared" si="19"/>
        <v>0</v>
      </c>
      <c r="U68" s="23">
        <f t="shared" si="19"/>
        <v>0</v>
      </c>
      <c r="V68" s="23">
        <f t="shared" si="19"/>
        <v>6</v>
      </c>
      <c r="W68" s="23">
        <f t="shared" si="19"/>
        <v>4</v>
      </c>
      <c r="X68" s="23">
        <f t="shared" si="19"/>
        <v>0</v>
      </c>
      <c r="Y68" s="23">
        <f t="shared" si="19"/>
        <v>0</v>
      </c>
      <c r="Z68" s="23">
        <f t="shared" si="19"/>
        <v>4</v>
      </c>
      <c r="AA68" s="23">
        <f t="shared" si="20"/>
        <v>0</v>
      </c>
      <c r="AB68" s="23">
        <f t="shared" si="20"/>
        <v>450</v>
      </c>
      <c r="AC68" s="23">
        <f t="shared" si="20"/>
        <v>0</v>
      </c>
      <c r="AD68" s="23">
        <f t="shared" si="20"/>
        <v>0</v>
      </c>
      <c r="AE68" s="23">
        <f t="shared" si="20"/>
        <v>100</v>
      </c>
      <c r="AF68" s="23">
        <f t="shared" si="20"/>
        <v>100</v>
      </c>
      <c r="AG68" s="23">
        <f t="shared" si="20"/>
        <v>1000</v>
      </c>
      <c r="AH68" s="23">
        <f t="shared" si="20"/>
        <v>0</v>
      </c>
      <c r="AI68" s="23">
        <f t="shared" si="20"/>
        <v>4</v>
      </c>
      <c r="AJ68" s="23">
        <f t="shared" si="20"/>
        <v>4</v>
      </c>
      <c r="AK68" s="23">
        <f t="shared" si="20"/>
        <v>0</v>
      </c>
      <c r="AL68" s="23">
        <f t="shared" si="20"/>
        <v>0</v>
      </c>
      <c r="AM68" s="23">
        <f t="shared" si="20"/>
        <v>0</v>
      </c>
      <c r="AN68" s="23">
        <f t="shared" si="20"/>
        <v>0</v>
      </c>
      <c r="AO68" s="23">
        <f t="shared" si="20"/>
        <v>0</v>
      </c>
    </row>
    <row r="69" spans="3:41" ht="15.6">
      <c r="C69" s="10" t="s">
        <v>219</v>
      </c>
      <c r="D69" s="9" t="s">
        <v>225</v>
      </c>
      <c r="E69" s="11" t="s">
        <v>226</v>
      </c>
      <c r="F69" s="23">
        <f>_xlfn.IFNA(VLOOKUP($D69,Dulieutho,F$2,FALSE),"")</f>
        <v>1332</v>
      </c>
      <c r="G69" s="23">
        <f t="shared" si="18"/>
        <v>392</v>
      </c>
      <c r="H69" s="23">
        <f t="shared" si="18"/>
        <v>400</v>
      </c>
      <c r="I69" s="23">
        <f t="shared" si="18"/>
        <v>816</v>
      </c>
      <c r="J69" s="23">
        <f t="shared" si="18"/>
        <v>810</v>
      </c>
      <c r="K69" s="23">
        <f t="shared" si="18"/>
        <v>780</v>
      </c>
      <c r="L69" s="23">
        <f t="shared" si="18"/>
        <v>370</v>
      </c>
      <c r="M69" s="23">
        <f t="shared" si="18"/>
        <v>1</v>
      </c>
      <c r="N69" s="23">
        <f t="shared" si="18"/>
        <v>1</v>
      </c>
      <c r="O69" s="23">
        <f t="shared" si="18"/>
        <v>3</v>
      </c>
      <c r="P69" s="23">
        <f t="shared" si="18"/>
        <v>0</v>
      </c>
      <c r="Q69" s="23">
        <f t="shared" si="19"/>
        <v>3</v>
      </c>
      <c r="R69" s="23">
        <f t="shared" si="19"/>
        <v>10</v>
      </c>
      <c r="S69" s="23">
        <f t="shared" si="19"/>
        <v>60</v>
      </c>
      <c r="T69" s="23">
        <f t="shared" si="19"/>
        <v>3</v>
      </c>
      <c r="U69" s="23">
        <f t="shared" si="19"/>
        <v>12</v>
      </c>
      <c r="V69" s="23">
        <f t="shared" si="19"/>
        <v>8</v>
      </c>
      <c r="W69" s="23">
        <f t="shared" si="19"/>
        <v>5</v>
      </c>
      <c r="X69" s="23">
        <f t="shared" si="19"/>
        <v>0.5</v>
      </c>
      <c r="Y69" s="23">
        <f t="shared" si="19"/>
        <v>8</v>
      </c>
      <c r="Z69" s="23">
        <f t="shared" si="19"/>
        <v>18</v>
      </c>
      <c r="AA69" s="23">
        <f t="shared" si="20"/>
        <v>500</v>
      </c>
      <c r="AB69" s="23">
        <f t="shared" si="20"/>
        <v>600</v>
      </c>
      <c r="AC69" s="23">
        <f t="shared" si="20"/>
        <v>100</v>
      </c>
      <c r="AD69" s="23">
        <f t="shared" si="20"/>
        <v>300</v>
      </c>
      <c r="AE69" s="23">
        <f t="shared" si="20"/>
        <v>300</v>
      </c>
      <c r="AF69" s="23">
        <f t="shared" si="20"/>
        <v>300</v>
      </c>
      <c r="AG69" s="23">
        <f t="shared" si="20"/>
        <v>2000</v>
      </c>
      <c r="AH69" s="23">
        <f t="shared" si="20"/>
        <v>1</v>
      </c>
      <c r="AI69" s="23">
        <f t="shared" si="20"/>
        <v>8</v>
      </c>
      <c r="AJ69" s="23">
        <f t="shared" si="20"/>
        <v>10</v>
      </c>
      <c r="AK69" s="23">
        <f t="shared" si="20"/>
        <v>120</v>
      </c>
      <c r="AL69" s="23">
        <f t="shared" si="20"/>
        <v>0</v>
      </c>
      <c r="AM69" s="23">
        <f t="shared" si="20"/>
        <v>1</v>
      </c>
      <c r="AN69" s="23">
        <f t="shared" si="20"/>
        <v>0</v>
      </c>
      <c r="AO69" s="23">
        <f t="shared" si="20"/>
        <v>0</v>
      </c>
    </row>
    <row r="70" spans="3:41" ht="15.6">
      <c r="C70" s="10" t="s">
        <v>219</v>
      </c>
      <c r="D70" s="9" t="s">
        <v>227</v>
      </c>
      <c r="E70" s="11" t="s">
        <v>228</v>
      </c>
      <c r="F70" s="23">
        <f>_xlfn.IFNA(VLOOKUP($D70,Dulieutho,F$2,FALSE),"")</f>
        <v>800</v>
      </c>
      <c r="G70" s="23">
        <f t="shared" si="18"/>
        <v>84</v>
      </c>
      <c r="H70" s="23">
        <f t="shared" si="18"/>
        <v>310</v>
      </c>
      <c r="I70" s="23">
        <f t="shared" si="18"/>
        <v>216</v>
      </c>
      <c r="J70" s="23">
        <f t="shared" si="18"/>
        <v>450</v>
      </c>
      <c r="K70" s="23">
        <f t="shared" si="18"/>
        <v>720</v>
      </c>
      <c r="L70" s="23">
        <f t="shared" si="18"/>
        <v>80</v>
      </c>
      <c r="M70" s="23">
        <f t="shared" si="18"/>
        <v>0</v>
      </c>
      <c r="N70" s="23">
        <f t="shared" si="18"/>
        <v>0</v>
      </c>
      <c r="O70" s="23">
        <f t="shared" si="18"/>
        <v>1</v>
      </c>
      <c r="P70" s="23">
        <f t="shared" si="18"/>
        <v>0</v>
      </c>
      <c r="Q70" s="23">
        <f t="shared" si="19"/>
        <v>2</v>
      </c>
      <c r="R70" s="23">
        <f t="shared" si="19"/>
        <v>11.5</v>
      </c>
      <c r="S70" s="23">
        <f t="shared" si="19"/>
        <v>48</v>
      </c>
      <c r="T70" s="23">
        <f t="shared" si="19"/>
        <v>3</v>
      </c>
      <c r="U70" s="23">
        <f t="shared" si="19"/>
        <v>0</v>
      </c>
      <c r="V70" s="23">
        <f t="shared" si="19"/>
        <v>10</v>
      </c>
      <c r="W70" s="23">
        <f t="shared" si="19"/>
        <v>6</v>
      </c>
      <c r="X70" s="23">
        <f t="shared" si="19"/>
        <v>0</v>
      </c>
      <c r="Y70" s="23">
        <f t="shared" si="19"/>
        <v>8</v>
      </c>
      <c r="Z70" s="23">
        <f t="shared" si="19"/>
        <v>24</v>
      </c>
      <c r="AA70" s="23">
        <f t="shared" si="20"/>
        <v>500</v>
      </c>
      <c r="AB70" s="23">
        <f t="shared" si="20"/>
        <v>600</v>
      </c>
      <c r="AC70" s="23">
        <f t="shared" si="20"/>
        <v>200</v>
      </c>
      <c r="AD70" s="23">
        <f t="shared" si="20"/>
        <v>100</v>
      </c>
      <c r="AE70" s="23">
        <f t="shared" si="20"/>
        <v>200</v>
      </c>
      <c r="AF70" s="23">
        <f t="shared" si="20"/>
        <v>100</v>
      </c>
      <c r="AG70" s="23">
        <f t="shared" si="20"/>
        <v>3000</v>
      </c>
      <c r="AH70" s="23">
        <f t="shared" si="20"/>
        <v>0</v>
      </c>
      <c r="AI70" s="23">
        <f t="shared" si="20"/>
        <v>12</v>
      </c>
      <c r="AJ70" s="23">
        <f t="shared" si="20"/>
        <v>6</v>
      </c>
      <c r="AK70" s="23">
        <f t="shared" si="20"/>
        <v>150</v>
      </c>
      <c r="AL70" s="23">
        <f t="shared" si="20"/>
        <v>0</v>
      </c>
      <c r="AM70" s="23">
        <f t="shared" si="20"/>
        <v>0</v>
      </c>
      <c r="AN70" s="23">
        <f t="shared" si="20"/>
        <v>0</v>
      </c>
      <c r="AO70" s="23">
        <f t="shared" si="20"/>
        <v>0</v>
      </c>
    </row>
    <row r="71" spans="3:41" ht="15.6">
      <c r="C71" s="10" t="s">
        <v>219</v>
      </c>
      <c r="D71" s="9" t="s">
        <v>229</v>
      </c>
      <c r="E71" s="11" t="s">
        <v>230</v>
      </c>
      <c r="F71" s="23">
        <f>_xlfn.IFNA(VLOOKUP($D71,Dulieutho,F$2,FALSE),"")</f>
        <v>1496</v>
      </c>
      <c r="G71" s="23">
        <f t="shared" si="18"/>
        <v>100</v>
      </c>
      <c r="H71" s="23">
        <f t="shared" si="18"/>
        <v>90</v>
      </c>
      <c r="I71" s="23">
        <f t="shared" si="18"/>
        <v>312</v>
      </c>
      <c r="J71" s="23">
        <f t="shared" si="18"/>
        <v>720</v>
      </c>
      <c r="K71" s="23">
        <f t="shared" si="18"/>
        <v>840</v>
      </c>
      <c r="L71" s="23">
        <f t="shared" si="18"/>
        <v>110</v>
      </c>
      <c r="M71" s="23">
        <f t="shared" si="18"/>
        <v>3</v>
      </c>
      <c r="N71" s="23">
        <f t="shared" si="18"/>
        <v>0</v>
      </c>
      <c r="O71" s="23">
        <f t="shared" si="18"/>
        <v>1.5</v>
      </c>
      <c r="P71" s="23">
        <f t="shared" si="18"/>
        <v>25</v>
      </c>
      <c r="Q71" s="23">
        <f t="shared" si="19"/>
        <v>2</v>
      </c>
      <c r="R71" s="23">
        <f t="shared" si="19"/>
        <v>8</v>
      </c>
      <c r="S71" s="23">
        <f t="shared" si="19"/>
        <v>48</v>
      </c>
      <c r="T71" s="23">
        <f t="shared" si="19"/>
        <v>3</v>
      </c>
      <c r="U71" s="23">
        <f t="shared" si="19"/>
        <v>12</v>
      </c>
      <c r="V71" s="23">
        <f t="shared" si="19"/>
        <v>8</v>
      </c>
      <c r="W71" s="23">
        <f t="shared" si="19"/>
        <v>15</v>
      </c>
      <c r="X71" s="23">
        <f t="shared" si="19"/>
        <v>0.5</v>
      </c>
      <c r="Y71" s="23">
        <f t="shared" si="19"/>
        <v>0</v>
      </c>
      <c r="Z71" s="23">
        <f t="shared" si="19"/>
        <v>6</v>
      </c>
      <c r="AA71" s="23">
        <f t="shared" si="20"/>
        <v>1000</v>
      </c>
      <c r="AB71" s="23">
        <f t="shared" si="20"/>
        <v>900</v>
      </c>
      <c r="AC71" s="23">
        <f t="shared" si="20"/>
        <v>0</v>
      </c>
      <c r="AD71" s="23">
        <f t="shared" si="20"/>
        <v>100</v>
      </c>
      <c r="AE71" s="23">
        <f t="shared" si="20"/>
        <v>0</v>
      </c>
      <c r="AF71" s="23">
        <f t="shared" si="20"/>
        <v>0</v>
      </c>
      <c r="AG71" s="23">
        <f t="shared" si="20"/>
        <v>2000</v>
      </c>
      <c r="AH71" s="23">
        <f t="shared" si="20"/>
        <v>1</v>
      </c>
      <c r="AI71" s="23">
        <f t="shared" si="20"/>
        <v>8</v>
      </c>
      <c r="AJ71" s="23">
        <f t="shared" si="20"/>
        <v>4</v>
      </c>
      <c r="AK71" s="23">
        <f t="shared" si="20"/>
        <v>60</v>
      </c>
      <c r="AL71" s="23">
        <f t="shared" si="20"/>
        <v>0</v>
      </c>
      <c r="AM71" s="23">
        <f t="shared" si="20"/>
        <v>3</v>
      </c>
      <c r="AN71" s="23">
        <f t="shared" si="20"/>
        <v>0</v>
      </c>
      <c r="AO71" s="23">
        <f t="shared" si="20"/>
        <v>0</v>
      </c>
    </row>
    <row r="72" spans="3:41" ht="15.6">
      <c r="C72" s="10" t="s">
        <v>219</v>
      </c>
      <c r="D72" s="9" t="s">
        <v>231</v>
      </c>
      <c r="E72" s="11" t="s">
        <v>232</v>
      </c>
      <c r="F72" s="23">
        <f>_xlfn.IFNA(VLOOKUP($D72,Dulieutho,F$2,FALSE),"")</f>
        <v>968</v>
      </c>
      <c r="G72" s="23">
        <f t="shared" si="18"/>
        <v>236</v>
      </c>
      <c r="H72" s="23">
        <f t="shared" si="18"/>
        <v>260</v>
      </c>
      <c r="I72" s="23">
        <f t="shared" si="18"/>
        <v>312</v>
      </c>
      <c r="J72" s="23">
        <f t="shared" si="18"/>
        <v>270</v>
      </c>
      <c r="K72" s="23">
        <f t="shared" si="18"/>
        <v>780</v>
      </c>
      <c r="L72" s="23">
        <f t="shared" si="18"/>
        <v>180</v>
      </c>
      <c r="M72" s="23">
        <f t="shared" si="18"/>
        <v>0</v>
      </c>
      <c r="N72" s="23">
        <f t="shared" si="18"/>
        <v>1</v>
      </c>
      <c r="O72" s="23">
        <f t="shared" si="18"/>
        <v>3</v>
      </c>
      <c r="P72" s="23">
        <f t="shared" si="18"/>
        <v>0</v>
      </c>
      <c r="Q72" s="23">
        <f t="shared" si="19"/>
        <v>2</v>
      </c>
      <c r="R72" s="23">
        <f t="shared" si="19"/>
        <v>8</v>
      </c>
      <c r="S72" s="23">
        <f t="shared" si="19"/>
        <v>60</v>
      </c>
      <c r="T72" s="23">
        <f t="shared" si="19"/>
        <v>4</v>
      </c>
      <c r="U72" s="23">
        <f t="shared" si="19"/>
        <v>12</v>
      </c>
      <c r="V72" s="23">
        <f t="shared" si="19"/>
        <v>12</v>
      </c>
      <c r="W72" s="23">
        <f t="shared" si="19"/>
        <v>8</v>
      </c>
      <c r="X72" s="23">
        <f t="shared" si="19"/>
        <v>0</v>
      </c>
      <c r="Y72" s="23">
        <f t="shared" si="19"/>
        <v>0</v>
      </c>
      <c r="Z72" s="23">
        <f t="shared" si="19"/>
        <v>8</v>
      </c>
      <c r="AA72" s="23">
        <f t="shared" si="20"/>
        <v>0</v>
      </c>
      <c r="AB72" s="23">
        <f t="shared" si="20"/>
        <v>900</v>
      </c>
      <c r="AC72" s="23">
        <f t="shared" si="20"/>
        <v>200</v>
      </c>
      <c r="AD72" s="23">
        <f t="shared" si="20"/>
        <v>100</v>
      </c>
      <c r="AE72" s="23">
        <f t="shared" si="20"/>
        <v>0</v>
      </c>
      <c r="AF72" s="23">
        <f t="shared" si="20"/>
        <v>200</v>
      </c>
      <c r="AG72" s="23">
        <f t="shared" si="20"/>
        <v>2000</v>
      </c>
      <c r="AH72" s="23">
        <f t="shared" si="20"/>
        <v>1</v>
      </c>
      <c r="AI72" s="23">
        <f t="shared" si="20"/>
        <v>8</v>
      </c>
      <c r="AJ72" s="23">
        <f t="shared" si="20"/>
        <v>5</v>
      </c>
      <c r="AK72" s="23">
        <f t="shared" si="20"/>
        <v>150</v>
      </c>
      <c r="AL72" s="23">
        <f t="shared" si="20"/>
        <v>240</v>
      </c>
      <c r="AM72" s="23">
        <f t="shared" si="20"/>
        <v>2.5</v>
      </c>
      <c r="AN72" s="23">
        <f t="shared" si="20"/>
        <v>1</v>
      </c>
      <c r="AO72" s="23">
        <f t="shared" si="20"/>
        <v>0</v>
      </c>
    </row>
    <row r="73" spans="3:41" ht="15.6">
      <c r="C73" s="14" t="s">
        <v>219</v>
      </c>
      <c r="D73" s="13" t="s">
        <v>233</v>
      </c>
      <c r="E73" s="15" t="s">
        <v>234</v>
      </c>
      <c r="F73" s="23">
        <f>_xlfn.IFNA(VLOOKUP($D73,Dulieutho,F$2,FALSE),"")</f>
        <v>728</v>
      </c>
      <c r="G73" s="23">
        <f t="shared" si="18"/>
        <v>76</v>
      </c>
      <c r="H73" s="23">
        <f t="shared" si="18"/>
        <v>270</v>
      </c>
      <c r="I73" s="23">
        <f t="shared" si="18"/>
        <v>192</v>
      </c>
      <c r="J73" s="23">
        <f t="shared" si="18"/>
        <v>450</v>
      </c>
      <c r="K73" s="23">
        <f t="shared" si="18"/>
        <v>720</v>
      </c>
      <c r="L73" s="23">
        <f t="shared" si="18"/>
        <v>60</v>
      </c>
      <c r="M73" s="23">
        <f t="shared" si="18"/>
        <v>0</v>
      </c>
      <c r="N73" s="23">
        <f t="shared" si="18"/>
        <v>1</v>
      </c>
      <c r="O73" s="23">
        <f t="shared" si="18"/>
        <v>1.5</v>
      </c>
      <c r="P73" s="23">
        <f t="shared" si="18"/>
        <v>0</v>
      </c>
      <c r="Q73" s="23">
        <f t="shared" si="19"/>
        <v>2</v>
      </c>
      <c r="R73" s="23">
        <f t="shared" si="19"/>
        <v>7</v>
      </c>
      <c r="S73" s="23">
        <f t="shared" si="19"/>
        <v>36</v>
      </c>
      <c r="T73" s="23">
        <f t="shared" si="19"/>
        <v>0</v>
      </c>
      <c r="U73" s="23">
        <f t="shared" si="19"/>
        <v>12</v>
      </c>
      <c r="V73" s="23">
        <f t="shared" si="19"/>
        <v>6</v>
      </c>
      <c r="W73" s="23">
        <f t="shared" si="19"/>
        <v>4</v>
      </c>
      <c r="X73" s="23">
        <f t="shared" si="19"/>
        <v>0</v>
      </c>
      <c r="Y73" s="23">
        <f t="shared" si="19"/>
        <v>0</v>
      </c>
      <c r="Z73" s="23">
        <f t="shared" si="19"/>
        <v>6</v>
      </c>
      <c r="AA73" s="23">
        <f t="shared" si="20"/>
        <v>1000</v>
      </c>
      <c r="AB73" s="23">
        <f t="shared" si="20"/>
        <v>600</v>
      </c>
      <c r="AC73" s="23">
        <f t="shared" si="20"/>
        <v>200</v>
      </c>
      <c r="AD73" s="23">
        <f t="shared" si="20"/>
        <v>100</v>
      </c>
      <c r="AE73" s="23">
        <f t="shared" si="20"/>
        <v>300</v>
      </c>
      <c r="AF73" s="23">
        <f t="shared" si="20"/>
        <v>400</v>
      </c>
      <c r="AG73" s="23">
        <f t="shared" si="20"/>
        <v>3000</v>
      </c>
      <c r="AH73" s="23">
        <f t="shared" si="20"/>
        <v>0</v>
      </c>
      <c r="AI73" s="23">
        <f t="shared" si="20"/>
        <v>12</v>
      </c>
      <c r="AJ73" s="23">
        <f t="shared" si="20"/>
        <v>12</v>
      </c>
      <c r="AK73" s="23">
        <f t="shared" si="20"/>
        <v>60</v>
      </c>
      <c r="AL73" s="23">
        <f t="shared" si="20"/>
        <v>0</v>
      </c>
      <c r="AM73" s="23">
        <f t="shared" si="20"/>
        <v>1</v>
      </c>
      <c r="AN73" s="23">
        <f t="shared" si="20"/>
        <v>0</v>
      </c>
      <c r="AO73" s="23">
        <f t="shared" si="20"/>
        <v>0</v>
      </c>
    </row>
    <row r="74" spans="3:41" ht="15.6">
      <c r="C74" s="10" t="s">
        <v>219</v>
      </c>
      <c r="D74" s="9" t="s">
        <v>235</v>
      </c>
      <c r="E74" s="11" t="s">
        <v>236</v>
      </c>
      <c r="F74" s="23">
        <f>_xlfn.IFNA(VLOOKUP($D74,Dulieutho,F$2,FALSE),"")</f>
        <v>528</v>
      </c>
      <c r="G74" s="23">
        <f t="shared" si="18"/>
        <v>236</v>
      </c>
      <c r="H74" s="23">
        <f t="shared" si="18"/>
        <v>180</v>
      </c>
      <c r="I74" s="23">
        <f t="shared" si="18"/>
        <v>192</v>
      </c>
      <c r="J74" s="23">
        <f t="shared" si="18"/>
        <v>450</v>
      </c>
      <c r="K74" s="23">
        <f t="shared" si="18"/>
        <v>240</v>
      </c>
      <c r="L74" s="23">
        <f t="shared" si="18"/>
        <v>140</v>
      </c>
      <c r="M74" s="23">
        <f t="shared" si="18"/>
        <v>0</v>
      </c>
      <c r="N74" s="23">
        <f t="shared" si="18"/>
        <v>0</v>
      </c>
      <c r="O74" s="23">
        <f t="shared" si="18"/>
        <v>0.5</v>
      </c>
      <c r="P74" s="23">
        <f t="shared" si="18"/>
        <v>25</v>
      </c>
      <c r="Q74" s="23">
        <f t="shared" si="19"/>
        <v>3</v>
      </c>
      <c r="R74" s="23">
        <f t="shared" si="19"/>
        <v>2</v>
      </c>
      <c r="S74" s="23">
        <f t="shared" si="19"/>
        <v>12</v>
      </c>
      <c r="T74" s="23">
        <f t="shared" si="19"/>
        <v>0</v>
      </c>
      <c r="U74" s="23">
        <f t="shared" si="19"/>
        <v>0</v>
      </c>
      <c r="V74" s="23">
        <f t="shared" si="19"/>
        <v>8</v>
      </c>
      <c r="W74" s="23">
        <f t="shared" si="19"/>
        <v>3</v>
      </c>
      <c r="X74" s="23">
        <f t="shared" si="19"/>
        <v>0</v>
      </c>
      <c r="Y74" s="23">
        <f t="shared" si="19"/>
        <v>3</v>
      </c>
      <c r="Z74" s="23">
        <f t="shared" si="19"/>
        <v>8</v>
      </c>
      <c r="AA74" s="23">
        <f t="shared" si="20"/>
        <v>0</v>
      </c>
      <c r="AB74" s="23">
        <f t="shared" si="20"/>
        <v>150</v>
      </c>
      <c r="AC74" s="23">
        <f t="shared" si="20"/>
        <v>0</v>
      </c>
      <c r="AD74" s="23">
        <f t="shared" si="20"/>
        <v>100</v>
      </c>
      <c r="AE74" s="23">
        <f t="shared" si="20"/>
        <v>100</v>
      </c>
      <c r="AF74" s="23">
        <f t="shared" si="20"/>
        <v>100</v>
      </c>
      <c r="AG74" s="23">
        <f t="shared" si="20"/>
        <v>1000</v>
      </c>
      <c r="AH74" s="23">
        <f t="shared" si="20"/>
        <v>0</v>
      </c>
      <c r="AI74" s="23">
        <f t="shared" si="20"/>
        <v>4</v>
      </c>
      <c r="AJ74" s="23">
        <f t="shared" si="20"/>
        <v>3</v>
      </c>
      <c r="AK74" s="23">
        <f t="shared" si="20"/>
        <v>60</v>
      </c>
      <c r="AL74" s="23">
        <f t="shared" si="20"/>
        <v>0</v>
      </c>
      <c r="AM74" s="23">
        <f t="shared" si="20"/>
        <v>0</v>
      </c>
      <c r="AN74" s="23">
        <f t="shared" si="20"/>
        <v>0</v>
      </c>
      <c r="AO74" s="23">
        <f t="shared" si="20"/>
        <v>0</v>
      </c>
    </row>
    <row r="75" spans="3:41" ht="15.6">
      <c r="C75" s="10" t="s">
        <v>219</v>
      </c>
      <c r="D75" s="9" t="s">
        <v>237</v>
      </c>
      <c r="E75" s="11" t="s">
        <v>238</v>
      </c>
      <c r="F75" s="23">
        <f>_xlfn.IFNA(VLOOKUP($D75,Dulieutho,F$2,FALSE),"")</f>
        <v>1040</v>
      </c>
      <c r="G75" s="23">
        <f t="shared" ref="G75:P84" si="21">_xlfn.IFNA(VLOOKUP($D75,Dulieutho,G$2,FALSE),"")</f>
        <v>132</v>
      </c>
      <c r="H75" s="23">
        <f t="shared" si="21"/>
        <v>270</v>
      </c>
      <c r="I75" s="23">
        <f t="shared" si="21"/>
        <v>312</v>
      </c>
      <c r="J75" s="23">
        <f t="shared" si="21"/>
        <v>450</v>
      </c>
      <c r="K75" s="23">
        <f t="shared" si="21"/>
        <v>660</v>
      </c>
      <c r="L75" s="23">
        <f t="shared" si="21"/>
        <v>110</v>
      </c>
      <c r="M75" s="23">
        <f t="shared" si="21"/>
        <v>0</v>
      </c>
      <c r="N75" s="23">
        <f t="shared" si="21"/>
        <v>2</v>
      </c>
      <c r="O75" s="23">
        <f t="shared" si="21"/>
        <v>2</v>
      </c>
      <c r="P75" s="23">
        <f t="shared" si="21"/>
        <v>25</v>
      </c>
      <c r="Q75" s="23">
        <f t="shared" ref="Q75:Z84" si="22">_xlfn.IFNA(VLOOKUP($D75,Dulieutho,Q$2,FALSE),"")</f>
        <v>1</v>
      </c>
      <c r="R75" s="23">
        <f t="shared" si="22"/>
        <v>11</v>
      </c>
      <c r="S75" s="23">
        <f t="shared" si="22"/>
        <v>72</v>
      </c>
      <c r="T75" s="23">
        <f t="shared" si="22"/>
        <v>6</v>
      </c>
      <c r="U75" s="23">
        <f t="shared" si="22"/>
        <v>0</v>
      </c>
      <c r="V75" s="23">
        <f t="shared" si="22"/>
        <v>12</v>
      </c>
      <c r="W75" s="23">
        <f t="shared" si="22"/>
        <v>4</v>
      </c>
      <c r="X75" s="23">
        <f t="shared" si="22"/>
        <v>0</v>
      </c>
      <c r="Y75" s="23">
        <f t="shared" si="22"/>
        <v>23</v>
      </c>
      <c r="Z75" s="23">
        <f t="shared" si="22"/>
        <v>24</v>
      </c>
      <c r="AA75" s="23">
        <f t="shared" ref="AA75:AO84" si="23">_xlfn.IFNA(VLOOKUP($D75,Dulieutho,AA$2,FALSE),"")</f>
        <v>500</v>
      </c>
      <c r="AB75" s="23">
        <f t="shared" si="23"/>
        <v>600</v>
      </c>
      <c r="AC75" s="23">
        <f t="shared" si="23"/>
        <v>0</v>
      </c>
      <c r="AD75" s="23">
        <f t="shared" si="23"/>
        <v>300</v>
      </c>
      <c r="AE75" s="23">
        <f t="shared" si="23"/>
        <v>300</v>
      </c>
      <c r="AF75" s="23">
        <f t="shared" si="23"/>
        <v>100</v>
      </c>
      <c r="AG75" s="23">
        <f t="shared" si="23"/>
        <v>1000</v>
      </c>
      <c r="AH75" s="23">
        <f t="shared" si="23"/>
        <v>0</v>
      </c>
      <c r="AI75" s="23">
        <f t="shared" si="23"/>
        <v>4</v>
      </c>
      <c r="AJ75" s="23">
        <f t="shared" si="23"/>
        <v>6</v>
      </c>
      <c r="AK75" s="23">
        <f t="shared" si="23"/>
        <v>240</v>
      </c>
      <c r="AL75" s="23">
        <f t="shared" si="23"/>
        <v>0</v>
      </c>
      <c r="AM75" s="23">
        <f t="shared" si="23"/>
        <v>1.5</v>
      </c>
      <c r="AN75" s="23">
        <f t="shared" si="23"/>
        <v>0</v>
      </c>
      <c r="AO75" s="23">
        <f t="shared" si="23"/>
        <v>0</v>
      </c>
    </row>
    <row r="76" spans="3:41" ht="15.6">
      <c r="C76" s="10" t="s">
        <v>219</v>
      </c>
      <c r="D76" s="9" t="s">
        <v>239</v>
      </c>
      <c r="E76" s="11" t="s">
        <v>240</v>
      </c>
      <c r="F76" s="23">
        <f>_xlfn.IFNA(VLOOKUP($D76,Dulieutho,F$2,FALSE),"")</f>
        <v>1480</v>
      </c>
      <c r="G76" s="23">
        <f t="shared" si="21"/>
        <v>176</v>
      </c>
      <c r="H76" s="23">
        <f t="shared" si="21"/>
        <v>340</v>
      </c>
      <c r="I76" s="23">
        <f t="shared" si="21"/>
        <v>480</v>
      </c>
      <c r="J76" s="23">
        <f t="shared" si="21"/>
        <v>720</v>
      </c>
      <c r="K76" s="23">
        <f t="shared" si="21"/>
        <v>1140</v>
      </c>
      <c r="L76" s="23">
        <f t="shared" si="21"/>
        <v>160</v>
      </c>
      <c r="M76" s="23">
        <f t="shared" si="21"/>
        <v>3</v>
      </c>
      <c r="N76" s="23">
        <f t="shared" si="21"/>
        <v>1</v>
      </c>
      <c r="O76" s="23">
        <f t="shared" si="21"/>
        <v>4</v>
      </c>
      <c r="P76" s="23">
        <f t="shared" si="21"/>
        <v>75</v>
      </c>
      <c r="Q76" s="23">
        <f t="shared" si="22"/>
        <v>3</v>
      </c>
      <c r="R76" s="23">
        <f t="shared" si="22"/>
        <v>26</v>
      </c>
      <c r="S76" s="23">
        <f t="shared" si="22"/>
        <v>108</v>
      </c>
      <c r="T76" s="23">
        <f t="shared" si="22"/>
        <v>6</v>
      </c>
      <c r="U76" s="23">
        <f t="shared" si="22"/>
        <v>24</v>
      </c>
      <c r="V76" s="23">
        <f t="shared" si="22"/>
        <v>20</v>
      </c>
      <c r="W76" s="23">
        <f t="shared" si="22"/>
        <v>11</v>
      </c>
      <c r="X76" s="23">
        <f t="shared" si="22"/>
        <v>0.5</v>
      </c>
      <c r="Y76" s="23">
        <f t="shared" si="22"/>
        <v>10</v>
      </c>
      <c r="Z76" s="23">
        <f t="shared" si="22"/>
        <v>22</v>
      </c>
      <c r="AA76" s="23">
        <f t="shared" si="23"/>
        <v>1000</v>
      </c>
      <c r="AB76" s="23">
        <f t="shared" si="23"/>
        <v>1050</v>
      </c>
      <c r="AC76" s="23">
        <f t="shared" si="23"/>
        <v>200</v>
      </c>
      <c r="AD76" s="23">
        <f t="shared" si="23"/>
        <v>300</v>
      </c>
      <c r="AE76" s="23">
        <f t="shared" si="23"/>
        <v>100</v>
      </c>
      <c r="AF76" s="23">
        <f t="shared" si="23"/>
        <v>300</v>
      </c>
      <c r="AG76" s="23">
        <f t="shared" si="23"/>
        <v>3000</v>
      </c>
      <c r="AH76" s="23">
        <f t="shared" si="23"/>
        <v>1</v>
      </c>
      <c r="AI76" s="23">
        <f t="shared" si="23"/>
        <v>12</v>
      </c>
      <c r="AJ76" s="23">
        <f t="shared" si="23"/>
        <v>10</v>
      </c>
      <c r="AK76" s="23">
        <f t="shared" si="23"/>
        <v>240</v>
      </c>
      <c r="AL76" s="23">
        <f t="shared" si="23"/>
        <v>60</v>
      </c>
      <c r="AM76" s="23">
        <f t="shared" si="23"/>
        <v>1.5</v>
      </c>
      <c r="AN76" s="23">
        <f t="shared" si="23"/>
        <v>0</v>
      </c>
      <c r="AO76" s="23">
        <f t="shared" si="23"/>
        <v>100</v>
      </c>
    </row>
    <row r="77" spans="3:41" ht="15.6">
      <c r="C77" s="10" t="s">
        <v>219</v>
      </c>
      <c r="D77" s="9" t="s">
        <v>241</v>
      </c>
      <c r="E77" s="11" t="s">
        <v>242</v>
      </c>
      <c r="F77" s="23">
        <f>_xlfn.IFNA(VLOOKUP($D77,Dulieutho,F$2,FALSE),"")</f>
        <v>1456</v>
      </c>
      <c r="G77" s="23">
        <f t="shared" si="21"/>
        <v>164</v>
      </c>
      <c r="H77" s="23">
        <f t="shared" si="21"/>
        <v>430</v>
      </c>
      <c r="I77" s="23">
        <f t="shared" si="21"/>
        <v>312</v>
      </c>
      <c r="J77" s="23">
        <f t="shared" si="21"/>
        <v>270</v>
      </c>
      <c r="K77" s="23">
        <f t="shared" si="21"/>
        <v>1080</v>
      </c>
      <c r="L77" s="23">
        <f t="shared" si="21"/>
        <v>160</v>
      </c>
      <c r="M77" s="23">
        <f t="shared" si="21"/>
        <v>0</v>
      </c>
      <c r="N77" s="23">
        <f t="shared" si="21"/>
        <v>1</v>
      </c>
      <c r="O77" s="23">
        <f t="shared" si="21"/>
        <v>0.5</v>
      </c>
      <c r="P77" s="23">
        <f t="shared" si="21"/>
        <v>25</v>
      </c>
      <c r="Q77" s="23">
        <f t="shared" si="22"/>
        <v>4</v>
      </c>
      <c r="R77" s="23">
        <f t="shared" si="22"/>
        <v>11</v>
      </c>
      <c r="S77" s="23">
        <f t="shared" si="22"/>
        <v>24</v>
      </c>
      <c r="T77" s="23">
        <f t="shared" si="22"/>
        <v>0</v>
      </c>
      <c r="U77" s="23">
        <f t="shared" si="22"/>
        <v>24</v>
      </c>
      <c r="V77" s="23">
        <f t="shared" si="22"/>
        <v>12</v>
      </c>
      <c r="W77" s="23">
        <f t="shared" si="22"/>
        <v>5</v>
      </c>
      <c r="X77" s="23">
        <f t="shared" si="22"/>
        <v>0</v>
      </c>
      <c r="Y77" s="23">
        <f t="shared" si="22"/>
        <v>0</v>
      </c>
      <c r="Z77" s="23">
        <f t="shared" si="22"/>
        <v>4</v>
      </c>
      <c r="AA77" s="23">
        <f t="shared" si="23"/>
        <v>0</v>
      </c>
      <c r="AB77" s="23">
        <f t="shared" si="23"/>
        <v>900</v>
      </c>
      <c r="AC77" s="23">
        <f t="shared" si="23"/>
        <v>200</v>
      </c>
      <c r="AD77" s="23">
        <f t="shared" si="23"/>
        <v>100</v>
      </c>
      <c r="AE77" s="23">
        <f t="shared" si="23"/>
        <v>100</v>
      </c>
      <c r="AF77" s="23">
        <f t="shared" si="23"/>
        <v>100</v>
      </c>
      <c r="AG77" s="23">
        <f t="shared" si="23"/>
        <v>2000</v>
      </c>
      <c r="AH77" s="23">
        <f t="shared" si="23"/>
        <v>0</v>
      </c>
      <c r="AI77" s="23">
        <f t="shared" si="23"/>
        <v>4</v>
      </c>
      <c r="AJ77" s="23">
        <f t="shared" si="23"/>
        <v>8</v>
      </c>
      <c r="AK77" s="23">
        <f t="shared" si="23"/>
        <v>150</v>
      </c>
      <c r="AL77" s="23">
        <f t="shared" si="23"/>
        <v>0</v>
      </c>
      <c r="AM77" s="23">
        <f t="shared" si="23"/>
        <v>0</v>
      </c>
      <c r="AN77" s="23">
        <f t="shared" si="23"/>
        <v>0</v>
      </c>
      <c r="AO77" s="23">
        <f t="shared" si="23"/>
        <v>0</v>
      </c>
    </row>
    <row r="78" spans="3:41" ht="15.6">
      <c r="C78" s="10" t="s">
        <v>219</v>
      </c>
      <c r="D78" s="9" t="s">
        <v>243</v>
      </c>
      <c r="E78" s="11" t="s">
        <v>244</v>
      </c>
      <c r="F78" s="23">
        <f>_xlfn.IFNA(VLOOKUP($D78,Dulieutho,F$2,FALSE),"")</f>
        <v>1204</v>
      </c>
      <c r="G78" s="23">
        <f t="shared" si="21"/>
        <v>132</v>
      </c>
      <c r="H78" s="23">
        <f t="shared" si="21"/>
        <v>310</v>
      </c>
      <c r="I78" s="23">
        <f t="shared" si="21"/>
        <v>168</v>
      </c>
      <c r="J78" s="23">
        <f t="shared" si="21"/>
        <v>540</v>
      </c>
      <c r="K78" s="23">
        <f t="shared" si="21"/>
        <v>780</v>
      </c>
      <c r="L78" s="23">
        <f t="shared" si="21"/>
        <v>110</v>
      </c>
      <c r="M78" s="23">
        <f t="shared" si="21"/>
        <v>0</v>
      </c>
      <c r="N78" s="23">
        <f t="shared" si="21"/>
        <v>0</v>
      </c>
      <c r="O78" s="23">
        <f t="shared" si="21"/>
        <v>0.5</v>
      </c>
      <c r="P78" s="23">
        <f t="shared" si="21"/>
        <v>0</v>
      </c>
      <c r="Q78" s="23">
        <f t="shared" si="22"/>
        <v>2</v>
      </c>
      <c r="R78" s="23">
        <f t="shared" si="22"/>
        <v>10</v>
      </c>
      <c r="S78" s="23">
        <f t="shared" si="22"/>
        <v>0</v>
      </c>
      <c r="T78" s="23">
        <f t="shared" si="22"/>
        <v>5</v>
      </c>
      <c r="U78" s="23">
        <f t="shared" si="22"/>
        <v>0</v>
      </c>
      <c r="V78" s="23">
        <f t="shared" si="22"/>
        <v>2</v>
      </c>
      <c r="W78" s="23">
        <f t="shared" si="22"/>
        <v>9</v>
      </c>
      <c r="X78" s="23">
        <f t="shared" si="22"/>
        <v>0</v>
      </c>
      <c r="Y78" s="23">
        <f t="shared" si="22"/>
        <v>0</v>
      </c>
      <c r="Z78" s="23">
        <f t="shared" si="22"/>
        <v>6</v>
      </c>
      <c r="AA78" s="23">
        <f t="shared" si="23"/>
        <v>500</v>
      </c>
      <c r="AB78" s="23">
        <f t="shared" si="23"/>
        <v>750</v>
      </c>
      <c r="AC78" s="23">
        <f t="shared" si="23"/>
        <v>200</v>
      </c>
      <c r="AD78" s="23">
        <f t="shared" si="23"/>
        <v>100</v>
      </c>
      <c r="AE78" s="23">
        <f t="shared" si="23"/>
        <v>100</v>
      </c>
      <c r="AF78" s="23">
        <f t="shared" si="23"/>
        <v>100</v>
      </c>
      <c r="AG78" s="23">
        <f t="shared" si="23"/>
        <v>1000</v>
      </c>
      <c r="AH78" s="23">
        <f t="shared" si="23"/>
        <v>0</v>
      </c>
      <c r="AI78" s="23">
        <f t="shared" si="23"/>
        <v>4</v>
      </c>
      <c r="AJ78" s="23">
        <f t="shared" si="23"/>
        <v>7</v>
      </c>
      <c r="AK78" s="23">
        <f t="shared" si="23"/>
        <v>150</v>
      </c>
      <c r="AL78" s="23">
        <f t="shared" si="23"/>
        <v>0</v>
      </c>
      <c r="AM78" s="23">
        <f t="shared" si="23"/>
        <v>0.5</v>
      </c>
      <c r="AN78" s="23">
        <f t="shared" si="23"/>
        <v>0</v>
      </c>
      <c r="AO78" s="23">
        <f t="shared" si="23"/>
        <v>0</v>
      </c>
    </row>
    <row r="79" spans="3:41" ht="15.6">
      <c r="C79" s="10" t="s">
        <v>219</v>
      </c>
      <c r="D79" s="9" t="s">
        <v>245</v>
      </c>
      <c r="E79" s="11" t="s">
        <v>246</v>
      </c>
      <c r="F79" s="23">
        <f>_xlfn.IFNA(VLOOKUP($D79,Dulieutho,F$2,FALSE),"")</f>
        <v>264</v>
      </c>
      <c r="G79" s="23">
        <f t="shared" si="21"/>
        <v>52</v>
      </c>
      <c r="H79" s="23">
        <f t="shared" si="21"/>
        <v>110</v>
      </c>
      <c r="I79" s="23">
        <f t="shared" si="21"/>
        <v>96</v>
      </c>
      <c r="J79" s="23">
        <f t="shared" si="21"/>
        <v>270</v>
      </c>
      <c r="K79" s="23">
        <f t="shared" si="21"/>
        <v>60</v>
      </c>
      <c r="L79" s="23">
        <f t="shared" si="21"/>
        <v>40</v>
      </c>
      <c r="M79" s="23">
        <f t="shared" si="21"/>
        <v>0</v>
      </c>
      <c r="N79" s="23">
        <f t="shared" si="21"/>
        <v>0</v>
      </c>
      <c r="O79" s="23">
        <f t="shared" si="21"/>
        <v>0</v>
      </c>
      <c r="P79" s="23">
        <f t="shared" si="21"/>
        <v>0</v>
      </c>
      <c r="Q79" s="23">
        <f t="shared" si="22"/>
        <v>4</v>
      </c>
      <c r="R79" s="23">
        <f t="shared" si="22"/>
        <v>4</v>
      </c>
      <c r="S79" s="23">
        <f t="shared" si="22"/>
        <v>24</v>
      </c>
      <c r="T79" s="23">
        <f t="shared" si="22"/>
        <v>0</v>
      </c>
      <c r="U79" s="23">
        <f t="shared" si="22"/>
        <v>12</v>
      </c>
      <c r="V79" s="23">
        <f t="shared" si="22"/>
        <v>6</v>
      </c>
      <c r="W79" s="23">
        <f t="shared" si="22"/>
        <v>3</v>
      </c>
      <c r="X79" s="23">
        <f t="shared" si="22"/>
        <v>0</v>
      </c>
      <c r="Y79" s="23">
        <f t="shared" si="22"/>
        <v>0</v>
      </c>
      <c r="Z79" s="23">
        <f t="shared" si="22"/>
        <v>8</v>
      </c>
      <c r="AA79" s="23">
        <f t="shared" si="23"/>
        <v>0</v>
      </c>
      <c r="AB79" s="23">
        <f t="shared" si="23"/>
        <v>0</v>
      </c>
      <c r="AC79" s="23">
        <f t="shared" si="23"/>
        <v>0</v>
      </c>
      <c r="AD79" s="23">
        <f t="shared" si="23"/>
        <v>100</v>
      </c>
      <c r="AE79" s="23">
        <f t="shared" si="23"/>
        <v>100</v>
      </c>
      <c r="AF79" s="23">
        <f t="shared" si="23"/>
        <v>0</v>
      </c>
      <c r="AG79" s="23">
        <f t="shared" si="23"/>
        <v>0</v>
      </c>
      <c r="AH79" s="23">
        <f t="shared" si="23"/>
        <v>1</v>
      </c>
      <c r="AI79" s="23">
        <f t="shared" si="23"/>
        <v>0</v>
      </c>
      <c r="AJ79" s="23">
        <f t="shared" si="23"/>
        <v>3</v>
      </c>
      <c r="AK79" s="23">
        <f t="shared" si="23"/>
        <v>0</v>
      </c>
      <c r="AL79" s="23">
        <f t="shared" si="23"/>
        <v>0</v>
      </c>
      <c r="AM79" s="23">
        <f t="shared" si="23"/>
        <v>0</v>
      </c>
      <c r="AN79" s="23">
        <f t="shared" si="23"/>
        <v>0</v>
      </c>
      <c r="AO79" s="23">
        <f t="shared" si="23"/>
        <v>0</v>
      </c>
    </row>
    <row r="80" spans="3:41" ht="15.6">
      <c r="C80" s="10" t="s">
        <v>219</v>
      </c>
      <c r="D80" s="9" t="s">
        <v>247</v>
      </c>
      <c r="E80" s="11" t="s">
        <v>248</v>
      </c>
      <c r="F80" s="23">
        <f>_xlfn.IFNA(VLOOKUP($D80,Dulieutho,F$2,FALSE),"")</f>
        <v>748</v>
      </c>
      <c r="G80" s="23">
        <f t="shared" si="21"/>
        <v>192</v>
      </c>
      <c r="H80" s="23">
        <f t="shared" si="21"/>
        <v>210</v>
      </c>
      <c r="I80" s="23">
        <f t="shared" si="21"/>
        <v>192</v>
      </c>
      <c r="J80" s="23">
        <f t="shared" si="21"/>
        <v>450</v>
      </c>
      <c r="K80" s="23">
        <f t="shared" si="21"/>
        <v>600</v>
      </c>
      <c r="L80" s="23">
        <f t="shared" si="21"/>
        <v>230</v>
      </c>
      <c r="M80" s="23">
        <f t="shared" si="21"/>
        <v>2</v>
      </c>
      <c r="N80" s="23">
        <f t="shared" si="21"/>
        <v>1</v>
      </c>
      <c r="O80" s="23">
        <f t="shared" si="21"/>
        <v>1</v>
      </c>
      <c r="P80" s="23">
        <f t="shared" si="21"/>
        <v>0</v>
      </c>
      <c r="Q80" s="23">
        <f t="shared" si="22"/>
        <v>2</v>
      </c>
      <c r="R80" s="23">
        <f t="shared" si="22"/>
        <v>6.5</v>
      </c>
      <c r="S80" s="23">
        <f t="shared" si="22"/>
        <v>48</v>
      </c>
      <c r="T80" s="23">
        <f t="shared" si="22"/>
        <v>3</v>
      </c>
      <c r="U80" s="23">
        <f t="shared" si="22"/>
        <v>0</v>
      </c>
      <c r="V80" s="23">
        <f t="shared" si="22"/>
        <v>0</v>
      </c>
      <c r="W80" s="23">
        <f t="shared" si="22"/>
        <v>13</v>
      </c>
      <c r="X80" s="23">
        <f t="shared" si="22"/>
        <v>0</v>
      </c>
      <c r="Y80" s="23">
        <f t="shared" si="22"/>
        <v>0</v>
      </c>
      <c r="Z80" s="23">
        <f t="shared" si="22"/>
        <v>2</v>
      </c>
      <c r="AA80" s="23">
        <f t="shared" si="23"/>
        <v>0</v>
      </c>
      <c r="AB80" s="23">
        <f t="shared" si="23"/>
        <v>450</v>
      </c>
      <c r="AC80" s="23">
        <f t="shared" si="23"/>
        <v>100</v>
      </c>
      <c r="AD80" s="23">
        <f t="shared" si="23"/>
        <v>100</v>
      </c>
      <c r="AE80" s="23">
        <f t="shared" si="23"/>
        <v>0</v>
      </c>
      <c r="AF80" s="23">
        <f t="shared" si="23"/>
        <v>200</v>
      </c>
      <c r="AG80" s="23">
        <f t="shared" si="23"/>
        <v>1000</v>
      </c>
      <c r="AH80" s="23">
        <f t="shared" si="23"/>
        <v>0</v>
      </c>
      <c r="AI80" s="23">
        <f t="shared" si="23"/>
        <v>4</v>
      </c>
      <c r="AJ80" s="23">
        <f t="shared" si="23"/>
        <v>2</v>
      </c>
      <c r="AK80" s="23">
        <f t="shared" si="23"/>
        <v>90</v>
      </c>
      <c r="AL80" s="23">
        <f t="shared" si="23"/>
        <v>0</v>
      </c>
      <c r="AM80" s="23">
        <f t="shared" si="23"/>
        <v>0</v>
      </c>
      <c r="AN80" s="23">
        <f t="shared" si="23"/>
        <v>0</v>
      </c>
      <c r="AO80" s="23">
        <f t="shared" si="23"/>
        <v>0</v>
      </c>
    </row>
    <row r="81" spans="3:41" ht="15.6">
      <c r="C81" s="10" t="s">
        <v>219</v>
      </c>
      <c r="D81" s="9" t="s">
        <v>249</v>
      </c>
      <c r="E81" s="11" t="s">
        <v>250</v>
      </c>
      <c r="F81" s="23">
        <f>_xlfn.IFNA(VLOOKUP($D81,Dulieutho,F$2,FALSE),"")</f>
        <v>564</v>
      </c>
      <c r="G81" s="23">
        <f t="shared" si="21"/>
        <v>68</v>
      </c>
      <c r="H81" s="23">
        <f t="shared" si="21"/>
        <v>90</v>
      </c>
      <c r="I81" s="23">
        <f t="shared" si="21"/>
        <v>120</v>
      </c>
      <c r="J81" s="23">
        <f t="shared" si="21"/>
        <v>270</v>
      </c>
      <c r="K81" s="23">
        <f t="shared" si="21"/>
        <v>480</v>
      </c>
      <c r="L81" s="23">
        <f t="shared" si="21"/>
        <v>70</v>
      </c>
      <c r="M81" s="23">
        <f t="shared" si="21"/>
        <v>0</v>
      </c>
      <c r="N81" s="23">
        <f t="shared" si="21"/>
        <v>0</v>
      </c>
      <c r="O81" s="23">
        <f t="shared" si="21"/>
        <v>0</v>
      </c>
      <c r="P81" s="23">
        <f t="shared" si="21"/>
        <v>0</v>
      </c>
      <c r="Q81" s="23">
        <f t="shared" si="22"/>
        <v>1</v>
      </c>
      <c r="R81" s="23">
        <f t="shared" si="22"/>
        <v>8</v>
      </c>
      <c r="S81" s="23">
        <f t="shared" si="22"/>
        <v>24</v>
      </c>
      <c r="T81" s="23">
        <f t="shared" si="22"/>
        <v>0</v>
      </c>
      <c r="U81" s="23">
        <f t="shared" si="22"/>
        <v>12</v>
      </c>
      <c r="V81" s="23">
        <f t="shared" si="22"/>
        <v>6</v>
      </c>
      <c r="W81" s="23">
        <f t="shared" si="22"/>
        <v>4</v>
      </c>
      <c r="X81" s="23">
        <f t="shared" si="22"/>
        <v>0.5</v>
      </c>
      <c r="Y81" s="23">
        <f t="shared" si="22"/>
        <v>1</v>
      </c>
      <c r="Z81" s="23">
        <f t="shared" si="22"/>
        <v>4</v>
      </c>
      <c r="AA81" s="23">
        <f t="shared" si="23"/>
        <v>0</v>
      </c>
      <c r="AB81" s="23">
        <f t="shared" si="23"/>
        <v>450</v>
      </c>
      <c r="AC81" s="23">
        <f t="shared" si="23"/>
        <v>100</v>
      </c>
      <c r="AD81" s="23">
        <f t="shared" si="23"/>
        <v>100</v>
      </c>
      <c r="AE81" s="23">
        <f t="shared" si="23"/>
        <v>0</v>
      </c>
      <c r="AF81" s="23">
        <f t="shared" si="23"/>
        <v>100</v>
      </c>
      <c r="AG81" s="23">
        <f t="shared" si="23"/>
        <v>0</v>
      </c>
      <c r="AH81" s="23">
        <f t="shared" si="23"/>
        <v>0</v>
      </c>
      <c r="AI81" s="23">
        <f t="shared" si="23"/>
        <v>0</v>
      </c>
      <c r="AJ81" s="23">
        <f t="shared" si="23"/>
        <v>4</v>
      </c>
      <c r="AK81" s="23">
        <f t="shared" si="23"/>
        <v>60</v>
      </c>
      <c r="AL81" s="23">
        <f t="shared" si="23"/>
        <v>0</v>
      </c>
      <c r="AM81" s="23">
        <f t="shared" si="23"/>
        <v>0</v>
      </c>
      <c r="AN81" s="23">
        <f t="shared" si="23"/>
        <v>0</v>
      </c>
      <c r="AO81" s="23">
        <f t="shared" si="23"/>
        <v>800</v>
      </c>
    </row>
    <row r="82" spans="3:41" ht="15.6">
      <c r="C82" s="10" t="s">
        <v>219</v>
      </c>
      <c r="D82" s="9" t="s">
        <v>251</v>
      </c>
      <c r="E82" s="11" t="s">
        <v>252</v>
      </c>
      <c r="F82" s="23">
        <f>_xlfn.IFNA(VLOOKUP($D82,Dulieutho,F$2,FALSE),"")</f>
        <v>2652</v>
      </c>
      <c r="G82" s="23">
        <f t="shared" si="21"/>
        <v>404</v>
      </c>
      <c r="H82" s="23">
        <f t="shared" si="21"/>
        <v>400</v>
      </c>
      <c r="I82" s="23">
        <f t="shared" si="21"/>
        <v>624</v>
      </c>
      <c r="J82" s="23">
        <f t="shared" si="21"/>
        <v>1260</v>
      </c>
      <c r="K82" s="23">
        <f t="shared" si="21"/>
        <v>1500</v>
      </c>
      <c r="L82" s="23">
        <f t="shared" si="21"/>
        <v>370</v>
      </c>
      <c r="M82" s="23">
        <f t="shared" si="21"/>
        <v>4</v>
      </c>
      <c r="N82" s="23">
        <f t="shared" si="21"/>
        <v>1</v>
      </c>
      <c r="O82" s="23">
        <f t="shared" si="21"/>
        <v>4</v>
      </c>
      <c r="P82" s="23">
        <f t="shared" si="21"/>
        <v>25</v>
      </c>
      <c r="Q82" s="23">
        <f t="shared" si="22"/>
        <v>2</v>
      </c>
      <c r="R82" s="23">
        <f t="shared" si="22"/>
        <v>13</v>
      </c>
      <c r="S82" s="23">
        <f t="shared" si="22"/>
        <v>84</v>
      </c>
      <c r="T82" s="23">
        <f t="shared" si="22"/>
        <v>6</v>
      </c>
      <c r="U82" s="23">
        <f t="shared" si="22"/>
        <v>24</v>
      </c>
      <c r="V82" s="23">
        <f t="shared" si="22"/>
        <v>20</v>
      </c>
      <c r="W82" s="23">
        <f t="shared" si="22"/>
        <v>17</v>
      </c>
      <c r="X82" s="23">
        <f t="shared" si="22"/>
        <v>0</v>
      </c>
      <c r="Y82" s="23">
        <f t="shared" si="22"/>
        <v>10</v>
      </c>
      <c r="Z82" s="23">
        <f t="shared" si="22"/>
        <v>16</v>
      </c>
      <c r="AA82" s="23">
        <f t="shared" si="23"/>
        <v>1000</v>
      </c>
      <c r="AB82" s="23">
        <f t="shared" si="23"/>
        <v>1500</v>
      </c>
      <c r="AC82" s="23">
        <f t="shared" si="23"/>
        <v>200</v>
      </c>
      <c r="AD82" s="23">
        <f t="shared" si="23"/>
        <v>300</v>
      </c>
      <c r="AE82" s="23">
        <f t="shared" si="23"/>
        <v>200</v>
      </c>
      <c r="AF82" s="23">
        <f t="shared" si="23"/>
        <v>400</v>
      </c>
      <c r="AG82" s="23">
        <f t="shared" si="23"/>
        <v>3000</v>
      </c>
      <c r="AH82" s="23">
        <f t="shared" si="23"/>
        <v>1</v>
      </c>
      <c r="AI82" s="23">
        <f t="shared" si="23"/>
        <v>12</v>
      </c>
      <c r="AJ82" s="23">
        <f t="shared" si="23"/>
        <v>17</v>
      </c>
      <c r="AK82" s="23">
        <f t="shared" si="23"/>
        <v>180</v>
      </c>
      <c r="AL82" s="23">
        <f t="shared" si="23"/>
        <v>30</v>
      </c>
      <c r="AM82" s="23">
        <f t="shared" si="23"/>
        <v>1</v>
      </c>
      <c r="AN82" s="23">
        <f t="shared" si="23"/>
        <v>0</v>
      </c>
      <c r="AO82" s="23">
        <f t="shared" si="23"/>
        <v>300</v>
      </c>
    </row>
    <row r="83" spans="3:41" ht="15.6">
      <c r="C83" s="10" t="s">
        <v>219</v>
      </c>
      <c r="D83" s="9" t="s">
        <v>253</v>
      </c>
      <c r="E83" s="11" t="s">
        <v>254</v>
      </c>
      <c r="F83" s="23">
        <f>_xlfn.IFNA(VLOOKUP($D83,Dulieutho,F$2,FALSE),"")</f>
        <v>1656</v>
      </c>
      <c r="G83" s="23">
        <f t="shared" si="21"/>
        <v>324</v>
      </c>
      <c r="H83" s="23">
        <f t="shared" si="21"/>
        <v>180</v>
      </c>
      <c r="I83" s="23">
        <f t="shared" si="21"/>
        <v>120</v>
      </c>
      <c r="J83" s="23">
        <f t="shared" si="21"/>
        <v>630</v>
      </c>
      <c r="K83" s="23">
        <f t="shared" si="21"/>
        <v>1200</v>
      </c>
      <c r="L83" s="23">
        <f t="shared" si="21"/>
        <v>300</v>
      </c>
      <c r="M83" s="23">
        <f t="shared" si="21"/>
        <v>1</v>
      </c>
      <c r="N83" s="23">
        <f t="shared" si="21"/>
        <v>0</v>
      </c>
      <c r="O83" s="23">
        <f t="shared" si="21"/>
        <v>1</v>
      </c>
      <c r="P83" s="23">
        <f t="shared" si="21"/>
        <v>25</v>
      </c>
      <c r="Q83" s="23">
        <f t="shared" si="22"/>
        <v>2</v>
      </c>
      <c r="R83" s="23">
        <f t="shared" si="22"/>
        <v>18</v>
      </c>
      <c r="S83" s="23">
        <f t="shared" si="22"/>
        <v>96</v>
      </c>
      <c r="T83" s="23">
        <f t="shared" si="22"/>
        <v>3</v>
      </c>
      <c r="U83" s="23">
        <f t="shared" si="22"/>
        <v>24</v>
      </c>
      <c r="V83" s="23">
        <f t="shared" si="22"/>
        <v>24</v>
      </c>
      <c r="W83" s="23">
        <f t="shared" si="22"/>
        <v>14</v>
      </c>
      <c r="X83" s="23">
        <f t="shared" si="22"/>
        <v>0</v>
      </c>
      <c r="Y83" s="23">
        <f t="shared" si="22"/>
        <v>2</v>
      </c>
      <c r="Z83" s="23">
        <f t="shared" si="22"/>
        <v>8</v>
      </c>
      <c r="AA83" s="23">
        <f t="shared" si="23"/>
        <v>500</v>
      </c>
      <c r="AB83" s="23">
        <f t="shared" si="23"/>
        <v>450</v>
      </c>
      <c r="AC83" s="23">
        <f t="shared" si="23"/>
        <v>100</v>
      </c>
      <c r="AD83" s="23">
        <f t="shared" si="23"/>
        <v>0</v>
      </c>
      <c r="AE83" s="23">
        <f t="shared" si="23"/>
        <v>0</v>
      </c>
      <c r="AF83" s="23">
        <f t="shared" si="23"/>
        <v>400</v>
      </c>
      <c r="AG83" s="23">
        <f t="shared" si="23"/>
        <v>2000</v>
      </c>
      <c r="AH83" s="23">
        <f t="shared" si="23"/>
        <v>0</v>
      </c>
      <c r="AI83" s="23">
        <f t="shared" si="23"/>
        <v>0</v>
      </c>
      <c r="AJ83" s="23">
        <f t="shared" si="23"/>
        <v>2</v>
      </c>
      <c r="AK83" s="23">
        <f t="shared" si="23"/>
        <v>150</v>
      </c>
      <c r="AL83" s="23">
        <f t="shared" si="23"/>
        <v>0</v>
      </c>
      <c r="AM83" s="23">
        <f t="shared" si="23"/>
        <v>2</v>
      </c>
      <c r="AN83" s="23">
        <f t="shared" si="23"/>
        <v>0</v>
      </c>
      <c r="AO83" s="23">
        <f t="shared" si="23"/>
        <v>0</v>
      </c>
    </row>
    <row r="84" spans="3:41" ht="15.6">
      <c r="C84" s="10" t="s">
        <v>219</v>
      </c>
      <c r="D84" s="9" t="s">
        <v>255</v>
      </c>
      <c r="E84" s="11" t="s">
        <v>256</v>
      </c>
      <c r="F84" s="23">
        <f>_xlfn.IFNA(VLOOKUP($D84,Dulieutho,F$2,FALSE),"")</f>
        <v>1144</v>
      </c>
      <c r="G84" s="23">
        <f t="shared" si="21"/>
        <v>172</v>
      </c>
      <c r="H84" s="23">
        <f t="shared" si="21"/>
        <v>320</v>
      </c>
      <c r="I84" s="23">
        <f t="shared" si="21"/>
        <v>312</v>
      </c>
      <c r="J84" s="23">
        <f t="shared" si="21"/>
        <v>900</v>
      </c>
      <c r="K84" s="23">
        <f t="shared" si="21"/>
        <v>480</v>
      </c>
      <c r="L84" s="23">
        <f t="shared" si="21"/>
        <v>140</v>
      </c>
      <c r="M84" s="23">
        <f t="shared" si="21"/>
        <v>0</v>
      </c>
      <c r="N84" s="23">
        <f t="shared" si="21"/>
        <v>2</v>
      </c>
      <c r="O84" s="23">
        <f t="shared" si="21"/>
        <v>1</v>
      </c>
      <c r="P84" s="23">
        <f t="shared" si="21"/>
        <v>0</v>
      </c>
      <c r="Q84" s="23">
        <f t="shared" si="22"/>
        <v>3</v>
      </c>
      <c r="R84" s="23">
        <f t="shared" si="22"/>
        <v>2.5</v>
      </c>
      <c r="S84" s="23">
        <f t="shared" si="22"/>
        <v>48</v>
      </c>
      <c r="T84" s="23">
        <f t="shared" si="22"/>
        <v>2</v>
      </c>
      <c r="U84" s="23">
        <f t="shared" si="22"/>
        <v>24</v>
      </c>
      <c r="V84" s="23">
        <f t="shared" si="22"/>
        <v>14</v>
      </c>
      <c r="W84" s="23">
        <f t="shared" si="22"/>
        <v>6</v>
      </c>
      <c r="X84" s="23">
        <f t="shared" si="22"/>
        <v>1</v>
      </c>
      <c r="Y84" s="23">
        <f t="shared" si="22"/>
        <v>2</v>
      </c>
      <c r="Z84" s="23">
        <f t="shared" si="22"/>
        <v>8</v>
      </c>
      <c r="AA84" s="23">
        <f t="shared" si="23"/>
        <v>1000</v>
      </c>
      <c r="AB84" s="23">
        <f t="shared" si="23"/>
        <v>600</v>
      </c>
      <c r="AC84" s="23">
        <f t="shared" si="23"/>
        <v>0</v>
      </c>
      <c r="AD84" s="23">
        <f t="shared" si="23"/>
        <v>100</v>
      </c>
      <c r="AE84" s="23">
        <f t="shared" si="23"/>
        <v>300</v>
      </c>
      <c r="AF84" s="23">
        <f t="shared" si="23"/>
        <v>200</v>
      </c>
      <c r="AG84" s="23">
        <f t="shared" si="23"/>
        <v>1000</v>
      </c>
      <c r="AH84" s="23">
        <f t="shared" si="23"/>
        <v>1</v>
      </c>
      <c r="AI84" s="23">
        <f t="shared" si="23"/>
        <v>4</v>
      </c>
      <c r="AJ84" s="23">
        <f t="shared" si="23"/>
        <v>8</v>
      </c>
      <c r="AK84" s="23">
        <f t="shared" si="23"/>
        <v>150</v>
      </c>
      <c r="AL84" s="23">
        <f t="shared" si="23"/>
        <v>0</v>
      </c>
      <c r="AM84" s="23">
        <f t="shared" si="23"/>
        <v>1</v>
      </c>
      <c r="AN84" s="23">
        <f t="shared" si="23"/>
        <v>0</v>
      </c>
      <c r="AO84" s="23">
        <f t="shared" si="23"/>
        <v>0</v>
      </c>
    </row>
    <row r="85" spans="3:41" ht="15.6">
      <c r="C85" s="10" t="s">
        <v>219</v>
      </c>
      <c r="D85" s="9" t="s">
        <v>257</v>
      </c>
      <c r="E85" s="11" t="s">
        <v>258</v>
      </c>
      <c r="F85" s="23">
        <f>_xlfn.IFNA(VLOOKUP($D85,Dulieutho,F$2,FALSE),"")</f>
        <v>612</v>
      </c>
      <c r="G85" s="23">
        <f t="shared" ref="G85:P97" si="24">_xlfn.IFNA(VLOOKUP($D85,Dulieutho,G$2,FALSE),"")</f>
        <v>88</v>
      </c>
      <c r="H85" s="23">
        <f t="shared" si="24"/>
        <v>210</v>
      </c>
      <c r="I85" s="23">
        <f t="shared" si="24"/>
        <v>96</v>
      </c>
      <c r="J85" s="23">
        <f t="shared" si="24"/>
        <v>0</v>
      </c>
      <c r="K85" s="23">
        <f t="shared" si="24"/>
        <v>60</v>
      </c>
      <c r="L85" s="23">
        <f t="shared" si="24"/>
        <v>50</v>
      </c>
      <c r="M85" s="23">
        <f t="shared" si="24"/>
        <v>0</v>
      </c>
      <c r="N85" s="23">
        <f t="shared" si="24"/>
        <v>0</v>
      </c>
      <c r="O85" s="23">
        <f t="shared" si="24"/>
        <v>0</v>
      </c>
      <c r="P85" s="23">
        <f t="shared" si="24"/>
        <v>0</v>
      </c>
      <c r="Q85" s="23">
        <f t="shared" ref="Q85:Z97" si="25">_xlfn.IFNA(VLOOKUP($D85,Dulieutho,Q$2,FALSE),"")</f>
        <v>1</v>
      </c>
      <c r="R85" s="23">
        <f t="shared" si="25"/>
        <v>8</v>
      </c>
      <c r="S85" s="23">
        <f t="shared" si="25"/>
        <v>60</v>
      </c>
      <c r="T85" s="23">
        <f t="shared" si="25"/>
        <v>0</v>
      </c>
      <c r="U85" s="23">
        <f t="shared" si="25"/>
        <v>12</v>
      </c>
      <c r="V85" s="23">
        <f t="shared" si="25"/>
        <v>10</v>
      </c>
      <c r="W85" s="23">
        <f t="shared" si="25"/>
        <v>6</v>
      </c>
      <c r="X85" s="23">
        <f t="shared" si="25"/>
        <v>0</v>
      </c>
      <c r="Y85" s="23">
        <f t="shared" si="25"/>
        <v>5</v>
      </c>
      <c r="Z85" s="23">
        <f t="shared" si="25"/>
        <v>2</v>
      </c>
      <c r="AA85" s="23">
        <f t="shared" ref="AA85:AO97" si="26">_xlfn.IFNA(VLOOKUP($D85,Dulieutho,AA$2,FALSE),"")</f>
        <v>500</v>
      </c>
      <c r="AB85" s="23">
        <f t="shared" si="26"/>
        <v>600</v>
      </c>
      <c r="AC85" s="23">
        <f t="shared" si="26"/>
        <v>100</v>
      </c>
      <c r="AD85" s="23">
        <f t="shared" si="26"/>
        <v>0</v>
      </c>
      <c r="AE85" s="23">
        <f t="shared" si="26"/>
        <v>100</v>
      </c>
      <c r="AF85" s="23">
        <f t="shared" si="26"/>
        <v>100</v>
      </c>
      <c r="AG85" s="23">
        <f t="shared" si="26"/>
        <v>0</v>
      </c>
      <c r="AH85" s="23">
        <f t="shared" si="26"/>
        <v>1</v>
      </c>
      <c r="AI85" s="23">
        <f t="shared" si="26"/>
        <v>0</v>
      </c>
      <c r="AJ85" s="23">
        <f t="shared" si="26"/>
        <v>4</v>
      </c>
      <c r="AK85" s="23">
        <f t="shared" si="26"/>
        <v>30</v>
      </c>
      <c r="AL85" s="23">
        <f t="shared" si="26"/>
        <v>0</v>
      </c>
      <c r="AM85" s="23">
        <f t="shared" si="26"/>
        <v>0</v>
      </c>
      <c r="AN85" s="23">
        <f t="shared" si="26"/>
        <v>0</v>
      </c>
      <c r="AO85" s="23">
        <f t="shared" si="26"/>
        <v>100</v>
      </c>
    </row>
    <row r="86" spans="3:41" ht="15.6">
      <c r="C86" s="10" t="s">
        <v>219</v>
      </c>
      <c r="D86" s="9" t="s">
        <v>259</v>
      </c>
      <c r="E86" s="11" t="s">
        <v>260</v>
      </c>
      <c r="F86" s="23">
        <f>_xlfn.IFNA(VLOOKUP($D86,Dulieutho,F$2,FALSE),"")</f>
        <v>1140</v>
      </c>
      <c r="G86" s="23">
        <f t="shared" si="24"/>
        <v>228</v>
      </c>
      <c r="H86" s="23">
        <f t="shared" si="24"/>
        <v>270</v>
      </c>
      <c r="I86" s="23">
        <f t="shared" si="24"/>
        <v>336</v>
      </c>
      <c r="J86" s="23">
        <f t="shared" si="24"/>
        <v>450</v>
      </c>
      <c r="K86" s="23">
        <f t="shared" si="24"/>
        <v>780</v>
      </c>
      <c r="L86" s="23">
        <f t="shared" si="24"/>
        <v>140</v>
      </c>
      <c r="M86" s="23">
        <f t="shared" si="24"/>
        <v>3</v>
      </c>
      <c r="N86" s="23">
        <f t="shared" si="24"/>
        <v>1</v>
      </c>
      <c r="O86" s="23">
        <f t="shared" si="24"/>
        <v>1</v>
      </c>
      <c r="P86" s="23">
        <f t="shared" si="24"/>
        <v>25</v>
      </c>
      <c r="Q86" s="23">
        <f t="shared" si="25"/>
        <v>2</v>
      </c>
      <c r="R86" s="23">
        <f t="shared" si="25"/>
        <v>11.5</v>
      </c>
      <c r="S86" s="23">
        <f t="shared" si="25"/>
        <v>72</v>
      </c>
      <c r="T86" s="23">
        <f t="shared" si="25"/>
        <v>0</v>
      </c>
      <c r="U86" s="23">
        <f t="shared" si="25"/>
        <v>24</v>
      </c>
      <c r="V86" s="23">
        <f t="shared" si="25"/>
        <v>14</v>
      </c>
      <c r="W86" s="23">
        <f t="shared" si="25"/>
        <v>5</v>
      </c>
      <c r="X86" s="23">
        <f t="shared" si="25"/>
        <v>0.5</v>
      </c>
      <c r="Y86" s="23">
        <f t="shared" si="25"/>
        <v>5</v>
      </c>
      <c r="Z86" s="23">
        <f t="shared" si="25"/>
        <v>10</v>
      </c>
      <c r="AA86" s="23">
        <f t="shared" si="26"/>
        <v>500</v>
      </c>
      <c r="AB86" s="23">
        <f t="shared" si="26"/>
        <v>900</v>
      </c>
      <c r="AC86" s="23">
        <f t="shared" si="26"/>
        <v>100</v>
      </c>
      <c r="AD86" s="23">
        <f t="shared" si="26"/>
        <v>0</v>
      </c>
      <c r="AE86" s="23">
        <f t="shared" si="26"/>
        <v>0</v>
      </c>
      <c r="AF86" s="23">
        <f t="shared" si="26"/>
        <v>200</v>
      </c>
      <c r="AG86" s="23">
        <f t="shared" si="26"/>
        <v>1000</v>
      </c>
      <c r="AH86" s="23">
        <f t="shared" si="26"/>
        <v>0</v>
      </c>
      <c r="AI86" s="23">
        <f t="shared" si="26"/>
        <v>4</v>
      </c>
      <c r="AJ86" s="23">
        <f t="shared" si="26"/>
        <v>5</v>
      </c>
      <c r="AK86" s="23">
        <f t="shared" si="26"/>
        <v>180</v>
      </c>
      <c r="AL86" s="23">
        <f t="shared" si="26"/>
        <v>90</v>
      </c>
      <c r="AM86" s="23">
        <f t="shared" si="26"/>
        <v>2</v>
      </c>
      <c r="AN86" s="23">
        <f t="shared" si="26"/>
        <v>0</v>
      </c>
      <c r="AO86" s="23">
        <f t="shared" si="26"/>
        <v>0</v>
      </c>
    </row>
    <row r="87" spans="3:41" ht="15.6">
      <c r="C87" s="14" t="s">
        <v>219</v>
      </c>
      <c r="D87" s="13" t="s">
        <v>261</v>
      </c>
      <c r="E87" s="15" t="s">
        <v>262</v>
      </c>
      <c r="F87" s="23">
        <f>_xlfn.IFNA(VLOOKUP($D87,Dulieutho,F$2,FALSE),"")</f>
        <v>384</v>
      </c>
      <c r="G87" s="23">
        <f t="shared" si="24"/>
        <v>60</v>
      </c>
      <c r="H87" s="23">
        <f t="shared" si="24"/>
        <v>140</v>
      </c>
      <c r="I87" s="23">
        <f t="shared" si="24"/>
        <v>96</v>
      </c>
      <c r="J87" s="23">
        <f t="shared" si="24"/>
        <v>270</v>
      </c>
      <c r="K87" s="23">
        <f t="shared" si="24"/>
        <v>240</v>
      </c>
      <c r="L87" s="23">
        <f t="shared" si="24"/>
        <v>60</v>
      </c>
      <c r="M87" s="23">
        <f t="shared" si="24"/>
        <v>0</v>
      </c>
      <c r="N87" s="23">
        <f t="shared" si="24"/>
        <v>1</v>
      </c>
      <c r="O87" s="23">
        <f t="shared" si="24"/>
        <v>0.5</v>
      </c>
      <c r="P87" s="23">
        <f t="shared" si="24"/>
        <v>25</v>
      </c>
      <c r="Q87" s="23">
        <f t="shared" si="25"/>
        <v>2</v>
      </c>
      <c r="R87" s="23">
        <f t="shared" si="25"/>
        <v>6</v>
      </c>
      <c r="S87" s="23">
        <f t="shared" si="25"/>
        <v>36</v>
      </c>
      <c r="T87" s="23">
        <f t="shared" si="25"/>
        <v>0</v>
      </c>
      <c r="U87" s="23">
        <f t="shared" si="25"/>
        <v>12</v>
      </c>
      <c r="V87" s="23">
        <f t="shared" si="25"/>
        <v>6</v>
      </c>
      <c r="W87" s="23">
        <f t="shared" si="25"/>
        <v>2</v>
      </c>
      <c r="X87" s="23">
        <f t="shared" si="25"/>
        <v>0</v>
      </c>
      <c r="Y87" s="23">
        <f t="shared" si="25"/>
        <v>1</v>
      </c>
      <c r="Z87" s="23">
        <f t="shared" si="25"/>
        <v>6</v>
      </c>
      <c r="AA87" s="23">
        <f t="shared" si="26"/>
        <v>0</v>
      </c>
      <c r="AB87" s="23">
        <f t="shared" si="26"/>
        <v>300</v>
      </c>
      <c r="AC87" s="23">
        <f t="shared" si="26"/>
        <v>0</v>
      </c>
      <c r="AD87" s="23">
        <f t="shared" si="26"/>
        <v>100</v>
      </c>
      <c r="AE87" s="23">
        <f t="shared" si="26"/>
        <v>100</v>
      </c>
      <c r="AF87" s="23">
        <f t="shared" si="26"/>
        <v>100</v>
      </c>
      <c r="AG87" s="23">
        <f t="shared" si="26"/>
        <v>0</v>
      </c>
      <c r="AH87" s="23">
        <f t="shared" si="26"/>
        <v>0</v>
      </c>
      <c r="AI87" s="23">
        <f t="shared" si="26"/>
        <v>0</v>
      </c>
      <c r="AJ87" s="23">
        <f t="shared" si="26"/>
        <v>4</v>
      </c>
      <c r="AK87" s="23">
        <f t="shared" si="26"/>
        <v>90</v>
      </c>
      <c r="AL87" s="23">
        <f t="shared" si="26"/>
        <v>0</v>
      </c>
      <c r="AM87" s="23">
        <f t="shared" si="26"/>
        <v>0</v>
      </c>
      <c r="AN87" s="23">
        <f t="shared" si="26"/>
        <v>0</v>
      </c>
      <c r="AO87" s="23">
        <f t="shared" si="26"/>
        <v>0</v>
      </c>
    </row>
    <row r="88" spans="3:41" ht="15.6">
      <c r="C88" s="10" t="s">
        <v>219</v>
      </c>
      <c r="D88" s="9" t="s">
        <v>263</v>
      </c>
      <c r="E88" s="11" t="s">
        <v>264</v>
      </c>
      <c r="F88" s="23">
        <f>_xlfn.IFNA(VLOOKUP($D88,Dulieutho,F$2,FALSE),"")</f>
        <v>1052</v>
      </c>
      <c r="G88" s="23">
        <f t="shared" si="24"/>
        <v>192</v>
      </c>
      <c r="H88" s="23">
        <f t="shared" si="24"/>
        <v>150</v>
      </c>
      <c r="I88" s="23">
        <f t="shared" si="24"/>
        <v>0</v>
      </c>
      <c r="J88" s="23">
        <f t="shared" si="24"/>
        <v>540</v>
      </c>
      <c r="K88" s="23">
        <f t="shared" si="24"/>
        <v>540</v>
      </c>
      <c r="L88" s="23">
        <f t="shared" si="24"/>
        <v>280</v>
      </c>
      <c r="M88" s="23">
        <f t="shared" si="24"/>
        <v>0</v>
      </c>
      <c r="N88" s="23">
        <f t="shared" si="24"/>
        <v>0</v>
      </c>
      <c r="O88" s="23">
        <f t="shared" si="24"/>
        <v>0.5</v>
      </c>
      <c r="P88" s="23">
        <f t="shared" si="24"/>
        <v>0</v>
      </c>
      <c r="Q88" s="23">
        <f t="shared" si="25"/>
        <v>1</v>
      </c>
      <c r="R88" s="23">
        <f t="shared" si="25"/>
        <v>1</v>
      </c>
      <c r="S88" s="23">
        <f t="shared" si="25"/>
        <v>12</v>
      </c>
      <c r="T88" s="23">
        <f t="shared" si="25"/>
        <v>3</v>
      </c>
      <c r="U88" s="23">
        <f t="shared" si="25"/>
        <v>0</v>
      </c>
      <c r="V88" s="23">
        <f t="shared" si="25"/>
        <v>6</v>
      </c>
      <c r="W88" s="23">
        <f t="shared" si="25"/>
        <v>4</v>
      </c>
      <c r="X88" s="23">
        <f t="shared" si="25"/>
        <v>0</v>
      </c>
      <c r="Y88" s="23">
        <f t="shared" si="25"/>
        <v>0</v>
      </c>
      <c r="Z88" s="23">
        <f t="shared" si="25"/>
        <v>6</v>
      </c>
      <c r="AA88" s="23">
        <f t="shared" si="26"/>
        <v>500</v>
      </c>
      <c r="AB88" s="23">
        <f t="shared" si="26"/>
        <v>450</v>
      </c>
      <c r="AC88" s="23">
        <f t="shared" si="26"/>
        <v>0</v>
      </c>
      <c r="AD88" s="23">
        <f t="shared" si="26"/>
        <v>0</v>
      </c>
      <c r="AE88" s="23">
        <f t="shared" si="26"/>
        <v>200</v>
      </c>
      <c r="AF88" s="23">
        <f t="shared" si="26"/>
        <v>200</v>
      </c>
      <c r="AG88" s="23">
        <f t="shared" si="26"/>
        <v>1000</v>
      </c>
      <c r="AH88" s="23">
        <f t="shared" si="26"/>
        <v>0</v>
      </c>
      <c r="AI88" s="23">
        <f t="shared" si="26"/>
        <v>4</v>
      </c>
      <c r="AJ88" s="23">
        <f t="shared" si="26"/>
        <v>6</v>
      </c>
      <c r="AK88" s="23">
        <f t="shared" si="26"/>
        <v>120</v>
      </c>
      <c r="AL88" s="23">
        <f t="shared" si="26"/>
        <v>0</v>
      </c>
      <c r="AM88" s="23">
        <f t="shared" si="26"/>
        <v>1</v>
      </c>
      <c r="AN88" s="23">
        <f t="shared" si="26"/>
        <v>0</v>
      </c>
      <c r="AO88" s="23">
        <f t="shared" si="26"/>
        <v>1100</v>
      </c>
    </row>
    <row r="89" spans="3:41" ht="15.6">
      <c r="C89" s="10" t="s">
        <v>219</v>
      </c>
      <c r="D89" s="9" t="s">
        <v>265</v>
      </c>
      <c r="E89" s="11" t="s">
        <v>266</v>
      </c>
      <c r="F89" s="23">
        <f>_xlfn.IFNA(VLOOKUP($D89,Dulieutho,F$2,FALSE),"")</f>
        <v>680</v>
      </c>
      <c r="G89" s="23">
        <f t="shared" si="24"/>
        <v>60</v>
      </c>
      <c r="H89" s="23">
        <f t="shared" si="24"/>
        <v>320</v>
      </c>
      <c r="I89" s="23">
        <f t="shared" si="24"/>
        <v>168</v>
      </c>
      <c r="J89" s="23">
        <f t="shared" si="24"/>
        <v>360</v>
      </c>
      <c r="K89" s="23">
        <f t="shared" si="24"/>
        <v>540</v>
      </c>
      <c r="L89" s="23">
        <f t="shared" si="24"/>
        <v>60</v>
      </c>
      <c r="M89" s="23">
        <f t="shared" si="24"/>
        <v>0</v>
      </c>
      <c r="N89" s="23">
        <f t="shared" si="24"/>
        <v>0</v>
      </c>
      <c r="O89" s="23">
        <f t="shared" si="24"/>
        <v>0.5</v>
      </c>
      <c r="P89" s="23">
        <f t="shared" si="24"/>
        <v>0</v>
      </c>
      <c r="Q89" s="23">
        <f t="shared" si="25"/>
        <v>4</v>
      </c>
      <c r="R89" s="23">
        <f t="shared" si="25"/>
        <v>3</v>
      </c>
      <c r="S89" s="23">
        <f t="shared" si="25"/>
        <v>12</v>
      </c>
      <c r="T89" s="23">
        <f t="shared" si="25"/>
        <v>0</v>
      </c>
      <c r="U89" s="23">
        <f t="shared" si="25"/>
        <v>12</v>
      </c>
      <c r="V89" s="23">
        <f t="shared" si="25"/>
        <v>8</v>
      </c>
      <c r="W89" s="23">
        <f t="shared" si="25"/>
        <v>4</v>
      </c>
      <c r="X89" s="23">
        <f t="shared" si="25"/>
        <v>0.5</v>
      </c>
      <c r="Y89" s="23">
        <f t="shared" si="25"/>
        <v>0</v>
      </c>
      <c r="Z89" s="23">
        <f t="shared" si="25"/>
        <v>10</v>
      </c>
      <c r="AA89" s="23">
        <f t="shared" si="26"/>
        <v>0</v>
      </c>
      <c r="AB89" s="23">
        <f t="shared" si="26"/>
        <v>450</v>
      </c>
      <c r="AC89" s="23">
        <f t="shared" si="26"/>
        <v>200</v>
      </c>
      <c r="AD89" s="23">
        <f t="shared" si="26"/>
        <v>100</v>
      </c>
      <c r="AE89" s="23">
        <f t="shared" si="26"/>
        <v>200</v>
      </c>
      <c r="AF89" s="23">
        <f t="shared" si="26"/>
        <v>100</v>
      </c>
      <c r="AG89" s="23">
        <f t="shared" si="26"/>
        <v>1000</v>
      </c>
      <c r="AH89" s="23">
        <f t="shared" si="26"/>
        <v>1</v>
      </c>
      <c r="AI89" s="23">
        <f t="shared" si="26"/>
        <v>5</v>
      </c>
      <c r="AJ89" s="23">
        <f t="shared" si="26"/>
        <v>5</v>
      </c>
      <c r="AK89" s="23">
        <f t="shared" si="26"/>
        <v>90</v>
      </c>
      <c r="AL89" s="23">
        <f t="shared" si="26"/>
        <v>0</v>
      </c>
      <c r="AM89" s="23">
        <f t="shared" si="26"/>
        <v>0</v>
      </c>
      <c r="AN89" s="23">
        <f t="shared" si="26"/>
        <v>0</v>
      </c>
      <c r="AO89" s="23">
        <f t="shared" si="26"/>
        <v>100</v>
      </c>
    </row>
    <row r="90" spans="3:41" ht="15.6">
      <c r="C90" s="10" t="s">
        <v>219</v>
      </c>
      <c r="D90" s="9" t="s">
        <v>267</v>
      </c>
      <c r="E90" s="11" t="s">
        <v>268</v>
      </c>
      <c r="F90" s="23">
        <f>_xlfn.IFNA(VLOOKUP($D90,Dulieutho,F$2,FALSE),"")</f>
        <v>736</v>
      </c>
      <c r="G90" s="23">
        <f t="shared" si="24"/>
        <v>96</v>
      </c>
      <c r="H90" s="23">
        <f t="shared" si="24"/>
        <v>110</v>
      </c>
      <c r="I90" s="23">
        <f t="shared" si="24"/>
        <v>120</v>
      </c>
      <c r="J90" s="23">
        <f t="shared" si="24"/>
        <v>270</v>
      </c>
      <c r="K90" s="23">
        <f t="shared" si="24"/>
        <v>540</v>
      </c>
      <c r="L90" s="23">
        <f t="shared" si="24"/>
        <v>100</v>
      </c>
      <c r="M90" s="23">
        <f t="shared" si="24"/>
        <v>0</v>
      </c>
      <c r="N90" s="23">
        <f t="shared" si="24"/>
        <v>1</v>
      </c>
      <c r="O90" s="23">
        <f t="shared" si="24"/>
        <v>0</v>
      </c>
      <c r="P90" s="23">
        <f t="shared" si="24"/>
        <v>25</v>
      </c>
      <c r="Q90" s="23">
        <f t="shared" si="25"/>
        <v>2</v>
      </c>
      <c r="R90" s="23">
        <f t="shared" si="25"/>
        <v>0</v>
      </c>
      <c r="S90" s="23">
        <f t="shared" si="25"/>
        <v>48</v>
      </c>
      <c r="T90" s="23">
        <f t="shared" si="25"/>
        <v>0</v>
      </c>
      <c r="U90" s="23">
        <f t="shared" si="25"/>
        <v>0</v>
      </c>
      <c r="V90" s="23">
        <f t="shared" si="25"/>
        <v>6</v>
      </c>
      <c r="W90" s="23">
        <f t="shared" si="25"/>
        <v>3</v>
      </c>
      <c r="X90" s="23">
        <f t="shared" si="25"/>
        <v>0</v>
      </c>
      <c r="Y90" s="23">
        <f t="shared" si="25"/>
        <v>0</v>
      </c>
      <c r="Z90" s="23">
        <f t="shared" si="25"/>
        <v>4</v>
      </c>
      <c r="AA90" s="23">
        <f t="shared" si="26"/>
        <v>0</v>
      </c>
      <c r="AB90" s="23">
        <f t="shared" si="26"/>
        <v>450</v>
      </c>
      <c r="AC90" s="23">
        <f t="shared" si="26"/>
        <v>100</v>
      </c>
      <c r="AD90" s="23">
        <f t="shared" si="26"/>
        <v>0</v>
      </c>
      <c r="AE90" s="23">
        <f t="shared" si="26"/>
        <v>100</v>
      </c>
      <c r="AF90" s="23">
        <f t="shared" si="26"/>
        <v>100</v>
      </c>
      <c r="AG90" s="23">
        <f t="shared" si="26"/>
        <v>1000</v>
      </c>
      <c r="AH90" s="23">
        <f t="shared" si="26"/>
        <v>0</v>
      </c>
      <c r="AI90" s="23">
        <f t="shared" si="26"/>
        <v>4</v>
      </c>
      <c r="AJ90" s="23">
        <f t="shared" si="26"/>
        <v>3</v>
      </c>
      <c r="AK90" s="23">
        <f t="shared" si="26"/>
        <v>60</v>
      </c>
      <c r="AL90" s="23">
        <f t="shared" si="26"/>
        <v>0</v>
      </c>
      <c r="AM90" s="23">
        <f t="shared" si="26"/>
        <v>0</v>
      </c>
      <c r="AN90" s="23">
        <f t="shared" si="26"/>
        <v>0</v>
      </c>
      <c r="AO90" s="23">
        <f t="shared" si="26"/>
        <v>900</v>
      </c>
    </row>
    <row r="91" spans="3:41" ht="15.6">
      <c r="C91" s="10" t="s">
        <v>219</v>
      </c>
      <c r="D91" s="9" t="s">
        <v>269</v>
      </c>
      <c r="E91" s="11" t="s">
        <v>270</v>
      </c>
      <c r="F91" s="23">
        <f>_xlfn.IFNA(VLOOKUP($D91,Dulieutho,F$2,FALSE),"")</f>
        <v>488</v>
      </c>
      <c r="G91" s="23">
        <f t="shared" si="24"/>
        <v>128</v>
      </c>
      <c r="H91" s="23">
        <f t="shared" si="24"/>
        <v>120</v>
      </c>
      <c r="I91" s="23">
        <f t="shared" si="24"/>
        <v>144</v>
      </c>
      <c r="J91" s="23">
        <f t="shared" si="24"/>
        <v>90</v>
      </c>
      <c r="K91" s="23">
        <f t="shared" si="24"/>
        <v>360</v>
      </c>
      <c r="L91" s="23">
        <f t="shared" si="24"/>
        <v>140</v>
      </c>
      <c r="M91" s="23">
        <f t="shared" si="24"/>
        <v>0</v>
      </c>
      <c r="N91" s="23">
        <f t="shared" si="24"/>
        <v>1</v>
      </c>
      <c r="O91" s="23">
        <f t="shared" si="24"/>
        <v>1</v>
      </c>
      <c r="P91" s="23">
        <f t="shared" si="24"/>
        <v>25</v>
      </c>
      <c r="Q91" s="23">
        <f t="shared" si="25"/>
        <v>1</v>
      </c>
      <c r="R91" s="23">
        <f t="shared" si="25"/>
        <v>1.5</v>
      </c>
      <c r="S91" s="23">
        <f t="shared" si="25"/>
        <v>36</v>
      </c>
      <c r="T91" s="23">
        <f t="shared" si="25"/>
        <v>2</v>
      </c>
      <c r="U91" s="23">
        <f t="shared" si="25"/>
        <v>12</v>
      </c>
      <c r="V91" s="23">
        <f t="shared" si="25"/>
        <v>4</v>
      </c>
      <c r="W91" s="23">
        <f t="shared" si="25"/>
        <v>3</v>
      </c>
      <c r="X91" s="23">
        <f t="shared" si="25"/>
        <v>1</v>
      </c>
      <c r="Y91" s="23">
        <f t="shared" si="25"/>
        <v>7</v>
      </c>
      <c r="Z91" s="23">
        <f t="shared" si="25"/>
        <v>10</v>
      </c>
      <c r="AA91" s="23">
        <f t="shared" si="26"/>
        <v>0</v>
      </c>
      <c r="AB91" s="23">
        <f t="shared" si="26"/>
        <v>450</v>
      </c>
      <c r="AC91" s="23">
        <f t="shared" si="26"/>
        <v>0</v>
      </c>
      <c r="AD91" s="23">
        <f t="shared" si="26"/>
        <v>100</v>
      </c>
      <c r="AE91" s="23">
        <f t="shared" si="26"/>
        <v>300</v>
      </c>
      <c r="AF91" s="23">
        <f t="shared" si="26"/>
        <v>100</v>
      </c>
      <c r="AG91" s="23">
        <f t="shared" si="26"/>
        <v>1000</v>
      </c>
      <c r="AH91" s="23">
        <f t="shared" si="26"/>
        <v>1</v>
      </c>
      <c r="AI91" s="23">
        <f t="shared" si="26"/>
        <v>4</v>
      </c>
      <c r="AJ91" s="23">
        <f t="shared" si="26"/>
        <v>6</v>
      </c>
      <c r="AK91" s="23">
        <f t="shared" si="26"/>
        <v>120</v>
      </c>
      <c r="AL91" s="23">
        <f t="shared" si="26"/>
        <v>60</v>
      </c>
      <c r="AM91" s="23">
        <f t="shared" si="26"/>
        <v>1.5</v>
      </c>
      <c r="AN91" s="23">
        <f t="shared" si="26"/>
        <v>0</v>
      </c>
      <c r="AO91" s="23">
        <f t="shared" si="26"/>
        <v>600</v>
      </c>
    </row>
    <row r="92" spans="3:41" ht="15.6">
      <c r="C92" s="10" t="s">
        <v>219</v>
      </c>
      <c r="D92" s="9" t="s">
        <v>271</v>
      </c>
      <c r="E92" s="11" t="s">
        <v>272</v>
      </c>
      <c r="F92" s="23">
        <f>_xlfn.IFNA(VLOOKUP($D92,Dulieutho,F$2,FALSE),"")</f>
        <v>872</v>
      </c>
      <c r="G92" s="23">
        <f t="shared" si="24"/>
        <v>132</v>
      </c>
      <c r="H92" s="23">
        <f t="shared" si="24"/>
        <v>180</v>
      </c>
      <c r="I92" s="23">
        <f t="shared" si="24"/>
        <v>168</v>
      </c>
      <c r="J92" s="23">
        <f t="shared" si="24"/>
        <v>720</v>
      </c>
      <c r="K92" s="23">
        <f t="shared" si="24"/>
        <v>540</v>
      </c>
      <c r="L92" s="23">
        <f t="shared" si="24"/>
        <v>160</v>
      </c>
      <c r="M92" s="23">
        <f t="shared" si="24"/>
        <v>1</v>
      </c>
      <c r="N92" s="23">
        <f t="shared" si="24"/>
        <v>1</v>
      </c>
      <c r="O92" s="23">
        <f t="shared" si="24"/>
        <v>1.5</v>
      </c>
      <c r="P92" s="23">
        <f t="shared" si="24"/>
        <v>25</v>
      </c>
      <c r="Q92" s="23">
        <f t="shared" si="25"/>
        <v>1</v>
      </c>
      <c r="R92" s="23">
        <f t="shared" si="25"/>
        <v>9</v>
      </c>
      <c r="S92" s="23">
        <f t="shared" si="25"/>
        <v>60</v>
      </c>
      <c r="T92" s="23">
        <f t="shared" si="25"/>
        <v>0</v>
      </c>
      <c r="U92" s="23">
        <f t="shared" si="25"/>
        <v>12</v>
      </c>
      <c r="V92" s="23">
        <f t="shared" si="25"/>
        <v>6</v>
      </c>
      <c r="W92" s="23">
        <f t="shared" si="25"/>
        <v>3</v>
      </c>
      <c r="X92" s="23">
        <f t="shared" si="25"/>
        <v>0.5</v>
      </c>
      <c r="Y92" s="23">
        <f t="shared" si="25"/>
        <v>9</v>
      </c>
      <c r="Z92" s="23">
        <f t="shared" si="25"/>
        <v>16</v>
      </c>
      <c r="AA92" s="23">
        <f t="shared" si="26"/>
        <v>500</v>
      </c>
      <c r="AB92" s="23">
        <f t="shared" si="26"/>
        <v>450</v>
      </c>
      <c r="AC92" s="23">
        <f t="shared" si="26"/>
        <v>100</v>
      </c>
      <c r="AD92" s="23">
        <f t="shared" si="26"/>
        <v>100</v>
      </c>
      <c r="AE92" s="23">
        <f t="shared" si="26"/>
        <v>100</v>
      </c>
      <c r="AF92" s="23">
        <f t="shared" si="26"/>
        <v>100</v>
      </c>
      <c r="AG92" s="23">
        <f t="shared" si="26"/>
        <v>2000</v>
      </c>
      <c r="AH92" s="23">
        <f t="shared" si="26"/>
        <v>0</v>
      </c>
      <c r="AI92" s="23">
        <f t="shared" si="26"/>
        <v>8</v>
      </c>
      <c r="AJ92" s="23">
        <f t="shared" si="26"/>
        <v>5</v>
      </c>
      <c r="AK92" s="23">
        <f t="shared" si="26"/>
        <v>0</v>
      </c>
      <c r="AL92" s="23">
        <f t="shared" si="26"/>
        <v>0</v>
      </c>
      <c r="AM92" s="23">
        <f t="shared" si="26"/>
        <v>0</v>
      </c>
      <c r="AN92" s="23">
        <f t="shared" si="26"/>
        <v>1</v>
      </c>
      <c r="AO92" s="23">
        <f t="shared" si="26"/>
        <v>0</v>
      </c>
    </row>
    <row r="93" spans="3:41" ht="15.6">
      <c r="C93" s="10" t="s">
        <v>219</v>
      </c>
      <c r="D93" s="9" t="s">
        <v>273</v>
      </c>
      <c r="E93" s="11" t="s">
        <v>274</v>
      </c>
      <c r="F93" s="23">
        <f>_xlfn.IFNA(VLOOKUP($D93,Dulieutho,F$2,FALSE),"")</f>
        <v>1668</v>
      </c>
      <c r="G93" s="23">
        <f t="shared" si="24"/>
        <v>220</v>
      </c>
      <c r="H93" s="23">
        <f t="shared" si="24"/>
        <v>280</v>
      </c>
      <c r="I93" s="23">
        <f t="shared" si="24"/>
        <v>192</v>
      </c>
      <c r="J93" s="23">
        <f t="shared" si="24"/>
        <v>1080</v>
      </c>
      <c r="K93" s="23">
        <f t="shared" si="24"/>
        <v>720</v>
      </c>
      <c r="L93" s="23">
        <f t="shared" si="24"/>
        <v>220</v>
      </c>
      <c r="M93" s="23">
        <f t="shared" si="24"/>
        <v>1</v>
      </c>
      <c r="N93" s="23">
        <f t="shared" si="24"/>
        <v>1</v>
      </c>
      <c r="O93" s="23">
        <f t="shared" si="24"/>
        <v>0.5</v>
      </c>
      <c r="P93" s="23">
        <f t="shared" si="24"/>
        <v>25</v>
      </c>
      <c r="Q93" s="23">
        <f t="shared" si="25"/>
        <v>5</v>
      </c>
      <c r="R93" s="23">
        <f t="shared" si="25"/>
        <v>15</v>
      </c>
      <c r="S93" s="23">
        <f t="shared" si="25"/>
        <v>48</v>
      </c>
      <c r="T93" s="23">
        <f t="shared" si="25"/>
        <v>0</v>
      </c>
      <c r="U93" s="23">
        <f t="shared" si="25"/>
        <v>12</v>
      </c>
      <c r="V93" s="23">
        <f t="shared" si="25"/>
        <v>14</v>
      </c>
      <c r="W93" s="23">
        <f t="shared" si="25"/>
        <v>13</v>
      </c>
      <c r="X93" s="23">
        <f t="shared" si="25"/>
        <v>1</v>
      </c>
      <c r="Y93" s="23">
        <f t="shared" si="25"/>
        <v>0</v>
      </c>
      <c r="Z93" s="23">
        <f t="shared" si="25"/>
        <v>10</v>
      </c>
      <c r="AA93" s="23">
        <f t="shared" si="26"/>
        <v>1000</v>
      </c>
      <c r="AB93" s="23">
        <f t="shared" si="26"/>
        <v>750</v>
      </c>
      <c r="AC93" s="23">
        <f t="shared" si="26"/>
        <v>0</v>
      </c>
      <c r="AD93" s="23">
        <f t="shared" si="26"/>
        <v>100</v>
      </c>
      <c r="AE93" s="23">
        <f t="shared" si="26"/>
        <v>200</v>
      </c>
      <c r="AF93" s="23">
        <f t="shared" si="26"/>
        <v>200</v>
      </c>
      <c r="AG93" s="23">
        <f t="shared" si="26"/>
        <v>2000</v>
      </c>
      <c r="AH93" s="23">
        <f t="shared" si="26"/>
        <v>1</v>
      </c>
      <c r="AI93" s="23">
        <f t="shared" si="26"/>
        <v>8</v>
      </c>
      <c r="AJ93" s="23">
        <f t="shared" si="26"/>
        <v>10</v>
      </c>
      <c r="AK93" s="23">
        <f t="shared" si="26"/>
        <v>120</v>
      </c>
      <c r="AL93" s="23">
        <f t="shared" si="26"/>
        <v>0</v>
      </c>
      <c r="AM93" s="23">
        <f t="shared" si="26"/>
        <v>0.5</v>
      </c>
      <c r="AN93" s="23">
        <f t="shared" si="26"/>
        <v>0</v>
      </c>
      <c r="AO93" s="23">
        <f t="shared" si="26"/>
        <v>0</v>
      </c>
    </row>
    <row r="94" spans="3:41" ht="15.6">
      <c r="C94" s="10" t="s">
        <v>219</v>
      </c>
      <c r="D94" s="9" t="s">
        <v>275</v>
      </c>
      <c r="E94" s="11" t="s">
        <v>276</v>
      </c>
      <c r="F94" s="23">
        <f>_xlfn.IFNA(VLOOKUP($D94,Dulieutho,F$2,FALSE),"")</f>
        <v>792</v>
      </c>
      <c r="G94" s="23">
        <f t="shared" si="24"/>
        <v>72</v>
      </c>
      <c r="H94" s="23">
        <f t="shared" si="24"/>
        <v>270</v>
      </c>
      <c r="I94" s="23">
        <f t="shared" si="24"/>
        <v>240</v>
      </c>
      <c r="J94" s="23">
        <f t="shared" si="24"/>
        <v>450</v>
      </c>
      <c r="K94" s="23">
        <f t="shared" si="24"/>
        <v>420</v>
      </c>
      <c r="L94" s="23">
        <f t="shared" si="24"/>
        <v>100</v>
      </c>
      <c r="M94" s="23">
        <f t="shared" si="24"/>
        <v>2</v>
      </c>
      <c r="N94" s="23">
        <f t="shared" si="24"/>
        <v>0</v>
      </c>
      <c r="O94" s="23">
        <f t="shared" si="24"/>
        <v>1</v>
      </c>
      <c r="P94" s="23">
        <f t="shared" si="24"/>
        <v>25</v>
      </c>
      <c r="Q94" s="23">
        <f t="shared" si="25"/>
        <v>4</v>
      </c>
      <c r="R94" s="23">
        <f t="shared" si="25"/>
        <v>16</v>
      </c>
      <c r="S94" s="23">
        <f t="shared" si="25"/>
        <v>60</v>
      </c>
      <c r="T94" s="23">
        <f t="shared" si="25"/>
        <v>0</v>
      </c>
      <c r="U94" s="23">
        <f t="shared" si="25"/>
        <v>12</v>
      </c>
      <c r="V94" s="23">
        <f t="shared" si="25"/>
        <v>4</v>
      </c>
      <c r="W94" s="23">
        <f t="shared" si="25"/>
        <v>9</v>
      </c>
      <c r="X94" s="23">
        <f t="shared" si="25"/>
        <v>0</v>
      </c>
      <c r="Y94" s="23">
        <f t="shared" si="25"/>
        <v>0</v>
      </c>
      <c r="Z94" s="23">
        <f t="shared" si="25"/>
        <v>18</v>
      </c>
      <c r="AA94" s="23">
        <f t="shared" si="26"/>
        <v>0</v>
      </c>
      <c r="AB94" s="23">
        <f t="shared" si="26"/>
        <v>150</v>
      </c>
      <c r="AC94" s="23">
        <f t="shared" si="26"/>
        <v>100</v>
      </c>
      <c r="AD94" s="23">
        <f t="shared" si="26"/>
        <v>100</v>
      </c>
      <c r="AE94" s="23">
        <f t="shared" si="26"/>
        <v>100</v>
      </c>
      <c r="AF94" s="23">
        <f t="shared" si="26"/>
        <v>0</v>
      </c>
      <c r="AG94" s="23">
        <f t="shared" si="26"/>
        <v>1000</v>
      </c>
      <c r="AH94" s="23">
        <f t="shared" si="26"/>
        <v>0</v>
      </c>
      <c r="AI94" s="23">
        <f t="shared" si="26"/>
        <v>4</v>
      </c>
      <c r="AJ94" s="23">
        <f t="shared" si="26"/>
        <v>2</v>
      </c>
      <c r="AK94" s="23">
        <f t="shared" si="26"/>
        <v>180</v>
      </c>
      <c r="AL94" s="23">
        <f t="shared" si="26"/>
        <v>0</v>
      </c>
      <c r="AM94" s="23">
        <f t="shared" si="26"/>
        <v>0.5</v>
      </c>
      <c r="AN94" s="23">
        <f t="shared" si="26"/>
        <v>1</v>
      </c>
      <c r="AO94" s="23">
        <f t="shared" si="26"/>
        <v>0</v>
      </c>
    </row>
    <row r="95" spans="3:41" ht="15.6">
      <c r="C95" s="10" t="s">
        <v>219</v>
      </c>
      <c r="D95" s="9" t="s">
        <v>277</v>
      </c>
      <c r="E95" s="11" t="s">
        <v>278</v>
      </c>
      <c r="F95" s="23">
        <f>_xlfn.IFNA(VLOOKUP($D95,Dulieutho,F$2,FALSE),"")</f>
        <v>820</v>
      </c>
      <c r="G95" s="23">
        <f t="shared" si="24"/>
        <v>84</v>
      </c>
      <c r="H95" s="23">
        <f t="shared" si="24"/>
        <v>140</v>
      </c>
      <c r="I95" s="23">
        <f t="shared" si="24"/>
        <v>96</v>
      </c>
      <c r="J95" s="23">
        <f t="shared" si="24"/>
        <v>180</v>
      </c>
      <c r="K95" s="23">
        <f t="shared" si="24"/>
        <v>660</v>
      </c>
      <c r="L95" s="23">
        <f t="shared" si="24"/>
        <v>90</v>
      </c>
      <c r="M95" s="23">
        <f t="shared" si="24"/>
        <v>0</v>
      </c>
      <c r="N95" s="23">
        <f t="shared" si="24"/>
        <v>0</v>
      </c>
      <c r="O95" s="23">
        <f t="shared" si="24"/>
        <v>0</v>
      </c>
      <c r="P95" s="23">
        <f t="shared" si="24"/>
        <v>0</v>
      </c>
      <c r="Q95" s="23">
        <f t="shared" si="25"/>
        <v>2</v>
      </c>
      <c r="R95" s="23">
        <f t="shared" si="25"/>
        <v>8</v>
      </c>
      <c r="S95" s="23">
        <f t="shared" si="25"/>
        <v>12</v>
      </c>
      <c r="T95" s="23">
        <f t="shared" si="25"/>
        <v>2</v>
      </c>
      <c r="U95" s="23">
        <f t="shared" si="25"/>
        <v>0</v>
      </c>
      <c r="V95" s="23">
        <f t="shared" si="25"/>
        <v>8</v>
      </c>
      <c r="W95" s="23">
        <f t="shared" si="25"/>
        <v>7</v>
      </c>
      <c r="X95" s="23">
        <f t="shared" si="25"/>
        <v>0</v>
      </c>
      <c r="Y95" s="23">
        <f t="shared" si="25"/>
        <v>5</v>
      </c>
      <c r="Z95" s="23">
        <f t="shared" si="25"/>
        <v>16</v>
      </c>
      <c r="AA95" s="23">
        <f t="shared" si="26"/>
        <v>500</v>
      </c>
      <c r="AB95" s="23">
        <f t="shared" si="26"/>
        <v>600</v>
      </c>
      <c r="AC95" s="23">
        <f t="shared" si="26"/>
        <v>0</v>
      </c>
      <c r="AD95" s="23">
        <f t="shared" si="26"/>
        <v>100</v>
      </c>
      <c r="AE95" s="23">
        <f t="shared" si="26"/>
        <v>100</v>
      </c>
      <c r="AF95" s="23">
        <f t="shared" si="26"/>
        <v>100</v>
      </c>
      <c r="AG95" s="23">
        <f t="shared" si="26"/>
        <v>1000</v>
      </c>
      <c r="AH95" s="23">
        <f t="shared" si="26"/>
        <v>1</v>
      </c>
      <c r="AI95" s="23">
        <f t="shared" si="26"/>
        <v>4</v>
      </c>
      <c r="AJ95" s="23">
        <f t="shared" si="26"/>
        <v>5</v>
      </c>
      <c r="AK95" s="23">
        <f t="shared" si="26"/>
        <v>90</v>
      </c>
      <c r="AL95" s="23">
        <f t="shared" si="26"/>
        <v>0</v>
      </c>
      <c r="AM95" s="23">
        <f t="shared" si="26"/>
        <v>0.5</v>
      </c>
      <c r="AN95" s="23">
        <f t="shared" si="26"/>
        <v>0</v>
      </c>
      <c r="AO95" s="23">
        <f t="shared" si="26"/>
        <v>0</v>
      </c>
    </row>
    <row r="96" spans="3:41" ht="15.6">
      <c r="C96" s="10" t="s">
        <v>219</v>
      </c>
      <c r="D96" s="9" t="s">
        <v>279</v>
      </c>
      <c r="E96" s="11" t="s">
        <v>280</v>
      </c>
      <c r="F96" s="23">
        <f>_xlfn.IFNA(VLOOKUP($D96,Dulieutho,F$2,FALSE),"")</f>
        <v>456</v>
      </c>
      <c r="G96" s="23">
        <f t="shared" si="24"/>
        <v>100</v>
      </c>
      <c r="H96" s="23">
        <f t="shared" si="24"/>
        <v>100</v>
      </c>
      <c r="I96" s="23">
        <f t="shared" si="24"/>
        <v>216</v>
      </c>
      <c r="J96" s="23">
        <f t="shared" si="24"/>
        <v>90</v>
      </c>
      <c r="K96" s="23">
        <f t="shared" si="24"/>
        <v>300</v>
      </c>
      <c r="L96" s="23">
        <f t="shared" si="24"/>
        <v>140</v>
      </c>
      <c r="M96" s="23">
        <f t="shared" si="24"/>
        <v>1</v>
      </c>
      <c r="N96" s="23">
        <f t="shared" si="24"/>
        <v>0</v>
      </c>
      <c r="O96" s="23">
        <f t="shared" si="24"/>
        <v>1</v>
      </c>
      <c r="P96" s="23">
        <f t="shared" si="24"/>
        <v>0</v>
      </c>
      <c r="Q96" s="23">
        <f t="shared" si="25"/>
        <v>0</v>
      </c>
      <c r="R96" s="23">
        <f t="shared" si="25"/>
        <v>2</v>
      </c>
      <c r="S96" s="23">
        <f t="shared" si="25"/>
        <v>36</v>
      </c>
      <c r="T96" s="23">
        <f t="shared" si="25"/>
        <v>3</v>
      </c>
      <c r="U96" s="23">
        <f t="shared" si="25"/>
        <v>0</v>
      </c>
      <c r="V96" s="23">
        <f t="shared" si="25"/>
        <v>8</v>
      </c>
      <c r="W96" s="23">
        <f t="shared" si="25"/>
        <v>9</v>
      </c>
      <c r="X96" s="23">
        <f t="shared" si="25"/>
        <v>0</v>
      </c>
      <c r="Y96" s="23">
        <f t="shared" si="25"/>
        <v>0</v>
      </c>
      <c r="Z96" s="23">
        <f t="shared" si="25"/>
        <v>16</v>
      </c>
      <c r="AA96" s="23">
        <f t="shared" si="26"/>
        <v>0</v>
      </c>
      <c r="AB96" s="23">
        <f t="shared" si="26"/>
        <v>300</v>
      </c>
      <c r="AC96" s="23">
        <f t="shared" si="26"/>
        <v>0</v>
      </c>
      <c r="AD96" s="23">
        <f t="shared" si="26"/>
        <v>100</v>
      </c>
      <c r="AE96" s="23">
        <f t="shared" si="26"/>
        <v>0</v>
      </c>
      <c r="AF96" s="23">
        <f t="shared" si="26"/>
        <v>100</v>
      </c>
      <c r="AG96" s="23">
        <f t="shared" si="26"/>
        <v>0</v>
      </c>
      <c r="AH96" s="23">
        <f t="shared" si="26"/>
        <v>0</v>
      </c>
      <c r="AI96" s="23">
        <f t="shared" si="26"/>
        <v>0</v>
      </c>
      <c r="AJ96" s="23">
        <f t="shared" si="26"/>
        <v>8</v>
      </c>
      <c r="AK96" s="23">
        <f t="shared" si="26"/>
        <v>90</v>
      </c>
      <c r="AL96" s="23">
        <f t="shared" si="26"/>
        <v>60</v>
      </c>
      <c r="AM96" s="23">
        <f t="shared" si="26"/>
        <v>0</v>
      </c>
      <c r="AN96" s="23">
        <f t="shared" si="26"/>
        <v>0</v>
      </c>
      <c r="AO96" s="23">
        <f t="shared" si="26"/>
        <v>0</v>
      </c>
    </row>
    <row r="97" spans="3:41" ht="15.6">
      <c r="C97" s="10" t="s">
        <v>219</v>
      </c>
      <c r="D97" s="12" t="s">
        <v>281</v>
      </c>
      <c r="E97" s="11" t="s">
        <v>282</v>
      </c>
      <c r="F97" s="23">
        <f>_xlfn.IFNA(VLOOKUP($D97,Dulieutho,F$2,FALSE),"")</f>
        <v>412</v>
      </c>
      <c r="G97" s="23">
        <f t="shared" si="24"/>
        <v>60</v>
      </c>
      <c r="H97" s="23">
        <f t="shared" si="24"/>
        <v>170</v>
      </c>
      <c r="I97" s="23">
        <f t="shared" si="24"/>
        <v>240</v>
      </c>
      <c r="J97" s="23">
        <f t="shared" si="24"/>
        <v>270</v>
      </c>
      <c r="K97" s="23">
        <f t="shared" si="24"/>
        <v>240</v>
      </c>
      <c r="L97" s="23">
        <f t="shared" si="24"/>
        <v>60</v>
      </c>
      <c r="M97" s="23">
        <f t="shared" si="24"/>
        <v>0</v>
      </c>
      <c r="N97" s="23">
        <f t="shared" si="24"/>
        <v>0</v>
      </c>
      <c r="O97" s="23">
        <f t="shared" si="24"/>
        <v>1.5</v>
      </c>
      <c r="P97" s="23">
        <f t="shared" si="24"/>
        <v>0</v>
      </c>
      <c r="Q97" s="23">
        <f t="shared" si="25"/>
        <v>2</v>
      </c>
      <c r="R97" s="23">
        <f t="shared" si="25"/>
        <v>6.5</v>
      </c>
      <c r="S97" s="23">
        <f t="shared" si="25"/>
        <v>24</v>
      </c>
      <c r="T97" s="23">
        <f t="shared" si="25"/>
        <v>2</v>
      </c>
      <c r="U97" s="23">
        <f t="shared" si="25"/>
        <v>0</v>
      </c>
      <c r="V97" s="23">
        <f t="shared" si="25"/>
        <v>2</v>
      </c>
      <c r="W97" s="23">
        <f t="shared" si="25"/>
        <v>4</v>
      </c>
      <c r="X97" s="23">
        <f t="shared" si="25"/>
        <v>0</v>
      </c>
      <c r="Y97" s="23">
        <f t="shared" si="25"/>
        <v>2</v>
      </c>
      <c r="Z97" s="23">
        <f t="shared" si="25"/>
        <v>4</v>
      </c>
      <c r="AA97" s="23">
        <f t="shared" si="26"/>
        <v>0</v>
      </c>
      <c r="AB97" s="23">
        <f t="shared" si="26"/>
        <v>300</v>
      </c>
      <c r="AC97" s="23">
        <f t="shared" si="26"/>
        <v>100</v>
      </c>
      <c r="AD97" s="23">
        <f t="shared" si="26"/>
        <v>100</v>
      </c>
      <c r="AE97" s="23">
        <f t="shared" si="26"/>
        <v>0</v>
      </c>
      <c r="AF97" s="23">
        <f t="shared" si="26"/>
        <v>0</v>
      </c>
      <c r="AG97" s="23">
        <f t="shared" si="26"/>
        <v>0</v>
      </c>
      <c r="AH97" s="23">
        <f t="shared" si="26"/>
        <v>0</v>
      </c>
      <c r="AI97" s="23">
        <f t="shared" si="26"/>
        <v>0</v>
      </c>
      <c r="AJ97" s="23">
        <f t="shared" si="26"/>
        <v>3</v>
      </c>
      <c r="AK97" s="23">
        <f t="shared" si="26"/>
        <v>90</v>
      </c>
      <c r="AL97" s="23">
        <f t="shared" si="26"/>
        <v>90</v>
      </c>
      <c r="AM97" s="23">
        <f t="shared" si="26"/>
        <v>0.5</v>
      </c>
      <c r="AN97" s="23">
        <f t="shared" si="26"/>
        <v>0</v>
      </c>
      <c r="AO97" s="23">
        <f t="shared" si="26"/>
        <v>0</v>
      </c>
    </row>
  </sheetData>
  <autoFilter ref="A3:AO97" xr:uid="{00000000-0001-0000-0000-000000000000}"/>
  <conditionalFormatting sqref="A2:XFD2">
    <cfRule type="duplicateValues" dxfId="31" priority="1"/>
  </conditionalFormatting>
  <conditionalFormatting sqref="C98:C1048576 C1:C3 B1:B1048576 D4:D97">
    <cfRule type="duplicateValues" dxfId="30" priority="21"/>
  </conditionalFormatting>
  <conditionalFormatting sqref="E1:E1048576">
    <cfRule type="duplicateValues" dxfId="29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8"/>
  <sheetViews>
    <sheetView workbookViewId="0">
      <pane xSplit="4" ySplit="5" topLeftCell="E6" activePane="bottomRight" state="frozen"/>
      <selection pane="topRight" activeCell="C1" sqref="C1"/>
      <selection pane="bottomLeft" activeCell="A4" sqref="A4"/>
      <selection pane="bottomRight" activeCell="F6" sqref="F6"/>
    </sheetView>
  </sheetViews>
  <sheetFormatPr defaultRowHeight="13.8"/>
  <cols>
    <col min="1" max="1" width="7.109375" style="4" hidden="1" customWidth="1"/>
    <col min="2" max="3" width="7.109375" style="4" customWidth="1"/>
    <col min="4" max="4" width="50.33203125" style="4" bestFit="1" customWidth="1"/>
    <col min="5" max="5" width="18.21875" style="5" bestFit="1" customWidth="1"/>
    <col min="6" max="6" width="14.33203125" style="5" bestFit="1" customWidth="1"/>
    <col min="7" max="7" width="19" style="5" customWidth="1"/>
    <col min="8" max="10" width="9.44140625" style="5" bestFit="1" customWidth="1"/>
    <col min="11" max="11" width="9.6640625" style="5" bestFit="1" customWidth="1"/>
    <col min="12" max="13" width="11" style="5" customWidth="1"/>
    <col min="14" max="15" width="11.5546875" style="5" bestFit="1" customWidth="1"/>
    <col min="16" max="16" width="9.6640625" style="5" bestFit="1" customWidth="1"/>
    <col min="17" max="17" width="10.6640625" style="5" bestFit="1" customWidth="1"/>
    <col min="18" max="18" width="10.6640625" style="5" customWidth="1"/>
    <col min="19" max="19" width="10.6640625" style="5" bestFit="1" customWidth="1"/>
    <col min="20" max="16384" width="8.88671875" style="4"/>
  </cols>
  <sheetData>
    <row r="1" spans="1:19">
      <c r="D1" s="4" t="s">
        <v>342</v>
      </c>
      <c r="E1" s="5" t="s">
        <v>343</v>
      </c>
      <c r="F1" s="5" t="s">
        <v>343</v>
      </c>
      <c r="G1" s="5" t="s">
        <v>343</v>
      </c>
      <c r="H1" s="5" t="s">
        <v>343</v>
      </c>
      <c r="I1" s="5" t="s">
        <v>343</v>
      </c>
      <c r="J1" s="5" t="s">
        <v>343</v>
      </c>
      <c r="K1" s="5" t="s">
        <v>347</v>
      </c>
      <c r="L1" s="5" t="s">
        <v>343</v>
      </c>
      <c r="M1" s="5" t="s">
        <v>343</v>
      </c>
      <c r="N1" s="5" t="s">
        <v>348</v>
      </c>
      <c r="O1" s="5" t="s">
        <v>343</v>
      </c>
      <c r="P1" s="5" t="s">
        <v>343</v>
      </c>
      <c r="Q1" s="5" t="s">
        <v>354</v>
      </c>
      <c r="R1" s="5" t="s">
        <v>355</v>
      </c>
      <c r="S1" s="5" t="s">
        <v>356</v>
      </c>
    </row>
    <row r="2" spans="1:19" s="47" customFormat="1" ht="69">
      <c r="D2" s="47" t="s">
        <v>338</v>
      </c>
      <c r="E2" s="48" t="s">
        <v>340</v>
      </c>
      <c r="F2" s="48" t="s">
        <v>341</v>
      </c>
      <c r="G2" s="48" t="s">
        <v>344</v>
      </c>
      <c r="H2" s="48" t="s">
        <v>346</v>
      </c>
      <c r="I2" s="48" t="s">
        <v>346</v>
      </c>
      <c r="J2" s="48" t="s">
        <v>346</v>
      </c>
      <c r="K2" s="48" t="s">
        <v>350</v>
      </c>
      <c r="L2" s="48" t="s">
        <v>346</v>
      </c>
      <c r="M2" s="48" t="s">
        <v>346</v>
      </c>
      <c r="N2" s="48" t="s">
        <v>349</v>
      </c>
      <c r="O2" s="48" t="s">
        <v>351</v>
      </c>
      <c r="P2" s="48" t="s">
        <v>351</v>
      </c>
      <c r="Q2" s="48" t="s">
        <v>346</v>
      </c>
      <c r="R2" s="48" t="s">
        <v>346</v>
      </c>
      <c r="S2" s="48" t="s">
        <v>357</v>
      </c>
    </row>
    <row r="3" spans="1:19" s="47" customFormat="1">
      <c r="D3" s="47" t="s">
        <v>339</v>
      </c>
      <c r="E3" s="48">
        <f>0.5*1000</f>
        <v>500</v>
      </c>
      <c r="F3" s="48">
        <f>1*1000</f>
        <v>1000</v>
      </c>
      <c r="G3" s="48">
        <f>1*1000/250*16</f>
        <v>64</v>
      </c>
      <c r="H3" s="48"/>
      <c r="I3" s="48"/>
      <c r="J3" s="48"/>
      <c r="K3" s="48">
        <f>1*9</f>
        <v>9</v>
      </c>
      <c r="L3" s="48"/>
      <c r="M3" s="48"/>
      <c r="N3" s="48">
        <f>1*1000</f>
        <v>1000</v>
      </c>
      <c r="O3" s="48">
        <f>1*1000</f>
        <v>1000</v>
      </c>
      <c r="P3" s="48">
        <f>1*1000</f>
        <v>1000</v>
      </c>
      <c r="Q3" s="48"/>
      <c r="R3" s="48"/>
      <c r="S3" s="48">
        <f>1*250</f>
        <v>250</v>
      </c>
    </row>
    <row r="4" spans="1:19" ht="55.2">
      <c r="A4" s="6" t="s">
        <v>1</v>
      </c>
      <c r="B4" s="1" t="s">
        <v>94</v>
      </c>
      <c r="C4" s="1" t="s">
        <v>95</v>
      </c>
      <c r="D4" s="1" t="s">
        <v>9</v>
      </c>
      <c r="E4" s="25" t="s">
        <v>24</v>
      </c>
      <c r="F4" s="25" t="s">
        <v>25</v>
      </c>
      <c r="G4" s="25" t="s">
        <v>333</v>
      </c>
      <c r="H4" s="25" t="s">
        <v>26</v>
      </c>
      <c r="I4" s="25" t="s">
        <v>27</v>
      </c>
      <c r="J4" s="25" t="s">
        <v>28</v>
      </c>
      <c r="K4" s="25" t="s">
        <v>29</v>
      </c>
      <c r="L4" s="25" t="s">
        <v>30</v>
      </c>
      <c r="M4" s="25" t="s">
        <v>345</v>
      </c>
      <c r="N4" s="25" t="s">
        <v>332</v>
      </c>
      <c r="O4" s="25" t="s">
        <v>352</v>
      </c>
      <c r="P4" s="25" t="s">
        <v>353</v>
      </c>
      <c r="Q4" s="25" t="s">
        <v>7</v>
      </c>
      <c r="R4" s="25" t="s">
        <v>71</v>
      </c>
      <c r="S4" s="25" t="s">
        <v>22</v>
      </c>
    </row>
    <row r="5" spans="1:19" ht="15.6">
      <c r="A5" s="7" t="s">
        <v>0</v>
      </c>
      <c r="B5" s="10" t="s">
        <v>97</v>
      </c>
      <c r="C5" s="9" t="s">
        <v>96</v>
      </c>
      <c r="D5" s="11" t="s">
        <v>98</v>
      </c>
      <c r="E5" s="26">
        <f>IFERROR(_xlfn.IFNA(VLOOKUP($C5,Dulieutho,ChiTiet!M$2,FALSE),0)*$E$3,0)</f>
        <v>0</v>
      </c>
      <c r="F5" s="26">
        <f>IFERROR(_xlfn.IFNA(VLOOKUP($C5,Dulieutho,ChiTiet!N$2,FALSE),0)*$F$3,0)</f>
        <v>1000</v>
      </c>
      <c r="G5" s="26">
        <f>IFERROR(_xlfn.IFNA(VLOOKUP($C5,Dulieutho,ChiTiet!O$2,FALSE),0)*$G$3,0)</f>
        <v>64</v>
      </c>
      <c r="H5" s="26">
        <f>IFERROR(_xlfn.IFNA(VLOOKUP($C5,Dulieutho,ChiTiet!P$2,FALSE),0),0)</f>
        <v>0</v>
      </c>
      <c r="I5" s="26">
        <f>IFERROR(_xlfn.IFNA(VLOOKUP($C5,Dulieutho,ChiTiet!Q$2,FALSE),0),0)</f>
        <v>1</v>
      </c>
      <c r="J5" s="26">
        <f>IFERROR(_xlfn.IFNA(VLOOKUP($C5,Dulieutho,ChiTiet!R$2,FALSE),0),0)</f>
        <v>4</v>
      </c>
      <c r="K5" s="26">
        <f>IFERROR(_xlfn.IFNA(VLOOKUP($C5,Dulieutho,ChiTiet!S$2,FALSE)*$K$3,0),0)</f>
        <v>324</v>
      </c>
      <c r="L5" s="26">
        <f>IFERROR(_xlfn.IFNA(VLOOKUP($C5,Dulieutho,ChiTiet!U$2,FALSE),0),0)</f>
        <v>0</v>
      </c>
      <c r="M5" s="26">
        <f>IFERROR(_xlfn.IFNA(VLOOKUP($C5,Dulieutho,ChiTiet!T$2,FALSE),0),0)</f>
        <v>0</v>
      </c>
      <c r="N5" s="26">
        <f>IFERROR(_xlfn.IFNA(VLOOKUP($C5,Dulieutho,ChiTiet!V$2,FALSE)*1000,0),0)</f>
        <v>2000</v>
      </c>
      <c r="O5" s="26">
        <f>IFERROR(_xlfn.IFNA(VLOOKUP($C5,Dulieutho,ChiTiet!W$2,FALSE)*$O$3,0),0)</f>
        <v>2000</v>
      </c>
      <c r="P5" s="26">
        <f>IFERROR(_xlfn.IFNA(VLOOKUP($C5,Dulieutho,ChiTiet!X$2,FALSE)*$P$3,0),0)</f>
        <v>0</v>
      </c>
      <c r="Q5" s="26">
        <f>IFERROR(_xlfn.IFNA(VLOOKUP($C5,Dulieutho,ChiTiet!AG$2,FALSE),0),0)</f>
        <v>1000</v>
      </c>
      <c r="R5" s="26">
        <f>IFERROR(_xlfn.IFNA(VLOOKUP($C5,Dulieutho,ChiTiet!AH$2,FALSE),0),0)</f>
        <v>0</v>
      </c>
      <c r="S5" s="26">
        <f>IFERROR(_xlfn.IFNA(VLOOKUP($C5,Dulieutho,ChiTiet!AI$2,FALSE)*$S$3,0),0)</f>
        <v>1000</v>
      </c>
    </row>
    <row r="6" spans="1:19" ht="15.6">
      <c r="A6" s="75"/>
      <c r="B6" s="10" t="s">
        <v>97</v>
      </c>
      <c r="C6" s="9" t="s">
        <v>499</v>
      </c>
      <c r="D6" s="11" t="s">
        <v>500</v>
      </c>
      <c r="E6" s="26">
        <f>IFERROR(_xlfn.IFNA(VLOOKUP($C6,Dulieutho,ChiTiet!M$2,FALSE),0)*$E$3,0)</f>
        <v>0</v>
      </c>
      <c r="F6" s="26">
        <f>IFERROR(_xlfn.IFNA(VLOOKUP($C6,Dulieutho,ChiTiet!N$2,FALSE),0)*$F$3,0)</f>
        <v>0</v>
      </c>
      <c r="G6" s="26">
        <f>IFERROR(_xlfn.IFNA(VLOOKUP($C6,Dulieutho,ChiTiet!O$2,FALSE),0)*$G$3,0)</f>
        <v>0</v>
      </c>
      <c r="H6" s="26">
        <f>IFERROR(_xlfn.IFNA(VLOOKUP($C6,Dulieutho,ChiTiet!P$2,FALSE),0),0)</f>
        <v>0</v>
      </c>
      <c r="I6" s="26">
        <f>IFERROR(_xlfn.IFNA(VLOOKUP($C6,Dulieutho,ChiTiet!Q$2,FALSE),0),0)</f>
        <v>0</v>
      </c>
      <c r="J6" s="26">
        <f>IFERROR(_xlfn.IFNA(VLOOKUP($C6,Dulieutho,ChiTiet!R$2,FALSE),0),0)</f>
        <v>0</v>
      </c>
      <c r="K6" s="26">
        <f>IFERROR(_xlfn.IFNA(VLOOKUP($C6,Dulieutho,ChiTiet!S$2,FALSE)*$K$3,0),0)</f>
        <v>0</v>
      </c>
      <c r="L6" s="26">
        <f>IFERROR(_xlfn.IFNA(VLOOKUP($C6,Dulieutho,ChiTiet!U$2,FALSE),0),0)</f>
        <v>0</v>
      </c>
      <c r="M6" s="26">
        <f>IFERROR(_xlfn.IFNA(VLOOKUP($C6,Dulieutho,ChiTiet!T$2,FALSE),0),0)</f>
        <v>0</v>
      </c>
      <c r="N6" s="26">
        <f>IFERROR(_xlfn.IFNA(VLOOKUP($C6,Dulieutho,ChiTiet!V$2,FALSE)*1000,0),0)</f>
        <v>0</v>
      </c>
      <c r="O6" s="26">
        <f>IFERROR(_xlfn.IFNA(VLOOKUP($C6,Dulieutho,ChiTiet!W$2,FALSE)*$O$3,0),0)</f>
        <v>0</v>
      </c>
      <c r="P6" s="26">
        <f>IFERROR(_xlfn.IFNA(VLOOKUP($C6,Dulieutho,ChiTiet!X$2,FALSE)*$P$3,0),0)</f>
        <v>0</v>
      </c>
      <c r="Q6" s="26">
        <f>IFERROR(_xlfn.IFNA(VLOOKUP($C6,Dulieutho,ChiTiet!AG$2,FALSE),0),0)</f>
        <v>0</v>
      </c>
      <c r="R6" s="26">
        <f>IFERROR(_xlfn.IFNA(VLOOKUP($C6,Dulieutho,ChiTiet!AH$2,FALSE),0),0)</f>
        <v>0</v>
      </c>
      <c r="S6" s="26">
        <f>IFERROR(_xlfn.IFNA(VLOOKUP($C6,Dulieutho,ChiTiet!AI$2,FALSE)*$S$3,0),0)</f>
        <v>0</v>
      </c>
    </row>
    <row r="7" spans="1:19" ht="15.6">
      <c r="B7" s="10" t="s">
        <v>97</v>
      </c>
      <c r="C7" s="9" t="s">
        <v>99</v>
      </c>
      <c r="D7" s="11" t="s">
        <v>100</v>
      </c>
      <c r="E7" s="26">
        <f>IFERROR(_xlfn.IFNA(VLOOKUP($C7,Dulieutho,ChiTiet!M$2,FALSE),0)*$E$3,0)</f>
        <v>0</v>
      </c>
      <c r="F7" s="26">
        <f>IFERROR(_xlfn.IFNA(VLOOKUP($C7,Dulieutho,ChiTiet!N$2,FALSE),0)*$F$3,0)</f>
        <v>2000</v>
      </c>
      <c r="G7" s="26">
        <f>IFERROR(_xlfn.IFNA(VLOOKUP($C7,Dulieutho,ChiTiet!O$2,FALSE),0)*$G$3,0)</f>
        <v>0</v>
      </c>
      <c r="H7" s="26">
        <f>IFERROR(_xlfn.IFNA(VLOOKUP($C7,Dulieutho,ChiTiet!P$2,FALSE),0),0)</f>
        <v>0</v>
      </c>
      <c r="I7" s="26">
        <f>IFERROR(_xlfn.IFNA(VLOOKUP($C7,Dulieutho,ChiTiet!Q$2,FALSE),0),0)</f>
        <v>3</v>
      </c>
      <c r="J7" s="26">
        <f>IFERROR(_xlfn.IFNA(VLOOKUP($C7,Dulieutho,ChiTiet!R$2,FALSE),0),0)</f>
        <v>21</v>
      </c>
      <c r="K7" s="26">
        <f>IFERROR(_xlfn.IFNA(VLOOKUP($C7,Dulieutho,ChiTiet!S$2,FALSE)*$K$3,0),0)</f>
        <v>0</v>
      </c>
      <c r="L7" s="26">
        <f>IFERROR(_xlfn.IFNA(VLOOKUP($C7,Dulieutho,ChiTiet!U$2,FALSE),0),0)</f>
        <v>0</v>
      </c>
      <c r="M7" s="26">
        <f>IFERROR(_xlfn.IFNA(VLOOKUP($C7,Dulieutho,ChiTiet!T$2,FALSE),0),0)</f>
        <v>12</v>
      </c>
      <c r="N7" s="26">
        <f>IFERROR(_xlfn.IFNA(VLOOKUP($C7,Dulieutho,ChiTiet!V$2,FALSE)*1000,0),0)</f>
        <v>4000</v>
      </c>
      <c r="O7" s="26">
        <f>IFERROR(_xlfn.IFNA(VLOOKUP($C7,Dulieutho,ChiTiet!W$2,FALSE)*$O$3,0),0)</f>
        <v>12000</v>
      </c>
      <c r="P7" s="26">
        <f>IFERROR(_xlfn.IFNA(VLOOKUP($C7,Dulieutho,ChiTiet!X$2,FALSE)*$P$3,0),0)</f>
        <v>500</v>
      </c>
      <c r="Q7" s="26">
        <f>IFERROR(_xlfn.IFNA(VLOOKUP($C7,Dulieutho,ChiTiet!AG$2,FALSE),0),0)</f>
        <v>0</v>
      </c>
      <c r="R7" s="26">
        <f>IFERROR(_xlfn.IFNA(VLOOKUP($C7,Dulieutho,ChiTiet!AH$2,FALSE),0),0)</f>
        <v>0</v>
      </c>
      <c r="S7" s="26">
        <f>IFERROR(_xlfn.IFNA(VLOOKUP($C7,Dulieutho,ChiTiet!AI$2,FALSE)*$S$3,0),0)</f>
        <v>0</v>
      </c>
    </row>
    <row r="8" spans="1:19" ht="15.6">
      <c r="B8" s="10" t="s">
        <v>97</v>
      </c>
      <c r="C8" s="9" t="s">
        <v>101</v>
      </c>
      <c r="D8" s="11" t="s">
        <v>102</v>
      </c>
      <c r="E8" s="26">
        <f>IFERROR(_xlfn.IFNA(VLOOKUP($C8,Dulieutho,ChiTiet!M$2,FALSE),0)*$E$3,0)</f>
        <v>0</v>
      </c>
      <c r="F8" s="26">
        <f>IFERROR(_xlfn.IFNA(VLOOKUP($C8,Dulieutho,ChiTiet!N$2,FALSE),0)*$F$3,0)</f>
        <v>0</v>
      </c>
      <c r="G8" s="26">
        <f>IFERROR(_xlfn.IFNA(VLOOKUP($C8,Dulieutho,ChiTiet!O$2,FALSE),0)*$G$3,0)</f>
        <v>0</v>
      </c>
      <c r="H8" s="26">
        <f>IFERROR(_xlfn.IFNA(VLOOKUP($C8,Dulieutho,ChiTiet!P$2,FALSE),0),0)</f>
        <v>0</v>
      </c>
      <c r="I8" s="26">
        <f>IFERROR(_xlfn.IFNA(VLOOKUP($C8,Dulieutho,ChiTiet!Q$2,FALSE),0),0)</f>
        <v>0</v>
      </c>
      <c r="J8" s="26">
        <f>IFERROR(_xlfn.IFNA(VLOOKUP($C8,Dulieutho,ChiTiet!R$2,FALSE),0),0)</f>
        <v>0</v>
      </c>
      <c r="K8" s="26">
        <f>IFERROR(_xlfn.IFNA(VLOOKUP($C8,Dulieutho,ChiTiet!S$2,FALSE)*$K$3,0),0)</f>
        <v>0</v>
      </c>
      <c r="L8" s="26">
        <f>IFERROR(_xlfn.IFNA(VLOOKUP($C8,Dulieutho,ChiTiet!U$2,FALSE),0),0)</f>
        <v>0</v>
      </c>
      <c r="M8" s="26">
        <f>IFERROR(_xlfn.IFNA(VLOOKUP($C8,Dulieutho,ChiTiet!T$2,FALSE),0),0)</f>
        <v>0</v>
      </c>
      <c r="N8" s="26">
        <f>IFERROR(_xlfn.IFNA(VLOOKUP($C8,Dulieutho,ChiTiet!V$2,FALSE)*1000,0),0)</f>
        <v>0</v>
      </c>
      <c r="O8" s="26">
        <f>IFERROR(_xlfn.IFNA(VLOOKUP($C8,Dulieutho,ChiTiet!W$2,FALSE)*$O$3,0),0)</f>
        <v>0</v>
      </c>
      <c r="P8" s="26">
        <f>IFERROR(_xlfn.IFNA(VLOOKUP($C8,Dulieutho,ChiTiet!X$2,FALSE)*$P$3,0),0)</f>
        <v>0</v>
      </c>
      <c r="Q8" s="26">
        <f>IFERROR(_xlfn.IFNA(VLOOKUP($C8,Dulieutho,ChiTiet!AG$2,FALSE),0),0)</f>
        <v>0</v>
      </c>
      <c r="R8" s="26">
        <f>IFERROR(_xlfn.IFNA(VLOOKUP($C8,Dulieutho,ChiTiet!AH$2,FALSE),0),0)</f>
        <v>0</v>
      </c>
      <c r="S8" s="26">
        <f>IFERROR(_xlfn.IFNA(VLOOKUP($C8,Dulieutho,ChiTiet!AI$2,FALSE)*$S$3,0),0)</f>
        <v>0</v>
      </c>
    </row>
    <row r="9" spans="1:19" ht="15.6">
      <c r="B9" s="10" t="s">
        <v>97</v>
      </c>
      <c r="C9" s="9" t="s">
        <v>103</v>
      </c>
      <c r="D9" s="11" t="s">
        <v>104</v>
      </c>
      <c r="E9" s="26">
        <f>IFERROR(_xlfn.IFNA(VLOOKUP($C9,Dulieutho,ChiTiet!M$2,FALSE),0)*$E$3,0)</f>
        <v>1000</v>
      </c>
      <c r="F9" s="26">
        <f>IFERROR(_xlfn.IFNA(VLOOKUP($C9,Dulieutho,ChiTiet!N$2,FALSE),0)*$F$3,0)</f>
        <v>1000</v>
      </c>
      <c r="G9" s="26">
        <f>IFERROR(_xlfn.IFNA(VLOOKUP($C9,Dulieutho,ChiTiet!O$2,FALSE),0)*$G$3,0)</f>
        <v>128</v>
      </c>
      <c r="H9" s="26">
        <f>IFERROR(_xlfn.IFNA(VLOOKUP($C9,Dulieutho,ChiTiet!P$2,FALSE),0),0)</f>
        <v>25</v>
      </c>
      <c r="I9" s="26">
        <f>IFERROR(_xlfn.IFNA(VLOOKUP($C9,Dulieutho,ChiTiet!Q$2,FALSE),0),0)</f>
        <v>8</v>
      </c>
      <c r="J9" s="26">
        <f>IFERROR(_xlfn.IFNA(VLOOKUP($C9,Dulieutho,ChiTiet!R$2,FALSE),0),0)</f>
        <v>39</v>
      </c>
      <c r="K9" s="26">
        <f>IFERROR(_xlfn.IFNA(VLOOKUP($C9,Dulieutho,ChiTiet!S$2,FALSE)*$K$3,0),0)</f>
        <v>648</v>
      </c>
      <c r="L9" s="26">
        <f>IFERROR(_xlfn.IFNA(VLOOKUP($C9,Dulieutho,ChiTiet!U$2,FALSE),0),0)</f>
        <v>36</v>
      </c>
      <c r="M9" s="26">
        <f>IFERROR(_xlfn.IFNA(VLOOKUP($C9,Dulieutho,ChiTiet!T$2,FALSE),0),0)</f>
        <v>11</v>
      </c>
      <c r="N9" s="26">
        <f>IFERROR(_xlfn.IFNA(VLOOKUP($C9,Dulieutho,ChiTiet!V$2,FALSE)*1000,0),0)</f>
        <v>20000</v>
      </c>
      <c r="O9" s="26">
        <f>IFERROR(_xlfn.IFNA(VLOOKUP($C9,Dulieutho,ChiTiet!W$2,FALSE)*$O$3,0),0)</f>
        <v>10000</v>
      </c>
      <c r="P9" s="26">
        <f>IFERROR(_xlfn.IFNA(VLOOKUP($C9,Dulieutho,ChiTiet!X$2,FALSE)*$P$3,0),0)</f>
        <v>500</v>
      </c>
      <c r="Q9" s="26">
        <f>IFERROR(_xlfn.IFNA(VLOOKUP($C9,Dulieutho,ChiTiet!AG$2,FALSE),0),0)</f>
        <v>3000</v>
      </c>
      <c r="R9" s="26">
        <f>IFERROR(_xlfn.IFNA(VLOOKUP($C9,Dulieutho,ChiTiet!AH$2,FALSE),0),0)</f>
        <v>1</v>
      </c>
      <c r="S9" s="26">
        <f>IFERROR(_xlfn.IFNA(VLOOKUP($C9,Dulieutho,ChiTiet!AI$2,FALSE)*$S$3,0),0)</f>
        <v>3000</v>
      </c>
    </row>
    <row r="10" spans="1:19" ht="15.6">
      <c r="B10" s="10" t="s">
        <v>97</v>
      </c>
      <c r="C10" s="9" t="s">
        <v>105</v>
      </c>
      <c r="D10" s="11" t="s">
        <v>106</v>
      </c>
      <c r="E10" s="26">
        <f>IFERROR(_xlfn.IFNA(VLOOKUP($C10,Dulieutho,ChiTiet!M$2,FALSE),0)*$E$3,0)</f>
        <v>500</v>
      </c>
      <c r="F10" s="26">
        <f>IFERROR(_xlfn.IFNA(VLOOKUP($C10,Dulieutho,ChiTiet!N$2,FALSE),0)*$F$3,0)</f>
        <v>1000</v>
      </c>
      <c r="G10" s="26">
        <f>IFERROR(_xlfn.IFNA(VLOOKUP($C10,Dulieutho,ChiTiet!O$2,FALSE),0)*$G$3,0)</f>
        <v>32</v>
      </c>
      <c r="H10" s="26">
        <f>IFERROR(_xlfn.IFNA(VLOOKUP($C10,Dulieutho,ChiTiet!P$2,FALSE),0),0)</f>
        <v>0</v>
      </c>
      <c r="I10" s="26">
        <f>IFERROR(_xlfn.IFNA(VLOOKUP($C10,Dulieutho,ChiTiet!Q$2,FALSE),0),0)</f>
        <v>1</v>
      </c>
      <c r="J10" s="26">
        <f>IFERROR(_xlfn.IFNA(VLOOKUP($C10,Dulieutho,ChiTiet!R$2,FALSE),0),0)</f>
        <v>11</v>
      </c>
      <c r="K10" s="26">
        <f>IFERROR(_xlfn.IFNA(VLOOKUP($C10,Dulieutho,ChiTiet!S$2,FALSE)*$K$3,0),0)</f>
        <v>1188</v>
      </c>
      <c r="L10" s="26">
        <f>IFERROR(_xlfn.IFNA(VLOOKUP($C10,Dulieutho,ChiTiet!U$2,FALSE),0),0)</f>
        <v>24</v>
      </c>
      <c r="M10" s="26">
        <f>IFERROR(_xlfn.IFNA(VLOOKUP($C10,Dulieutho,ChiTiet!T$2,FALSE),0),0)</f>
        <v>6</v>
      </c>
      <c r="N10" s="26">
        <f>IFERROR(_xlfn.IFNA(VLOOKUP($C10,Dulieutho,ChiTiet!V$2,FALSE)*1000,0),0)</f>
        <v>14000</v>
      </c>
      <c r="O10" s="26">
        <f>IFERROR(_xlfn.IFNA(VLOOKUP($C10,Dulieutho,ChiTiet!W$2,FALSE)*$O$3,0),0)</f>
        <v>10000</v>
      </c>
      <c r="P10" s="26">
        <f>IFERROR(_xlfn.IFNA(VLOOKUP($C10,Dulieutho,ChiTiet!X$2,FALSE)*$P$3,0),0)</f>
        <v>1000</v>
      </c>
      <c r="Q10" s="26">
        <f>IFERROR(_xlfn.IFNA(VLOOKUP($C10,Dulieutho,ChiTiet!AG$2,FALSE),0),0)</f>
        <v>2000</v>
      </c>
      <c r="R10" s="26">
        <f>IFERROR(_xlfn.IFNA(VLOOKUP($C10,Dulieutho,ChiTiet!AH$2,FALSE),0),0)</f>
        <v>1</v>
      </c>
      <c r="S10" s="26">
        <f>IFERROR(_xlfn.IFNA(VLOOKUP($C10,Dulieutho,ChiTiet!AI$2,FALSE)*$S$3,0),0)</f>
        <v>2000</v>
      </c>
    </row>
    <row r="11" spans="1:19" ht="15.6">
      <c r="B11" s="10" t="s">
        <v>97</v>
      </c>
      <c r="C11" s="9" t="s">
        <v>107</v>
      </c>
      <c r="D11" s="11" t="s">
        <v>108</v>
      </c>
      <c r="E11" s="26">
        <f>IFERROR(_xlfn.IFNA(VLOOKUP($C11,Dulieutho,ChiTiet!M$2,FALSE),0)*$E$3,0)</f>
        <v>500</v>
      </c>
      <c r="F11" s="26">
        <f>IFERROR(_xlfn.IFNA(VLOOKUP($C11,Dulieutho,ChiTiet!N$2,FALSE),0)*$F$3,0)</f>
        <v>1000</v>
      </c>
      <c r="G11" s="26">
        <f>IFERROR(_xlfn.IFNA(VLOOKUP($C11,Dulieutho,ChiTiet!O$2,FALSE),0)*$G$3,0)</f>
        <v>256</v>
      </c>
      <c r="H11" s="26">
        <f>IFERROR(_xlfn.IFNA(VLOOKUP($C11,Dulieutho,ChiTiet!P$2,FALSE),0),0)</f>
        <v>25</v>
      </c>
      <c r="I11" s="26">
        <f>IFERROR(_xlfn.IFNA(VLOOKUP($C11,Dulieutho,ChiTiet!Q$2,FALSE),0),0)</f>
        <v>3</v>
      </c>
      <c r="J11" s="26">
        <f>IFERROR(_xlfn.IFNA(VLOOKUP($C11,Dulieutho,ChiTiet!R$2,FALSE),0),0)</f>
        <v>32</v>
      </c>
      <c r="K11" s="26">
        <f>IFERROR(_xlfn.IFNA(VLOOKUP($C11,Dulieutho,ChiTiet!S$2,FALSE)*$K$3,0),0)</f>
        <v>1404</v>
      </c>
      <c r="L11" s="26">
        <f>IFERROR(_xlfn.IFNA(VLOOKUP($C11,Dulieutho,ChiTiet!U$2,FALSE),0),0)</f>
        <v>12</v>
      </c>
      <c r="M11" s="26">
        <f>IFERROR(_xlfn.IFNA(VLOOKUP($C11,Dulieutho,ChiTiet!T$2,FALSE),0),0)</f>
        <v>10</v>
      </c>
      <c r="N11" s="26">
        <f>IFERROR(_xlfn.IFNA(VLOOKUP($C11,Dulieutho,ChiTiet!V$2,FALSE)*1000,0),0)</f>
        <v>18000</v>
      </c>
      <c r="O11" s="26">
        <f>IFERROR(_xlfn.IFNA(VLOOKUP($C11,Dulieutho,ChiTiet!W$2,FALSE)*$O$3,0),0)</f>
        <v>18000</v>
      </c>
      <c r="P11" s="26">
        <f>IFERROR(_xlfn.IFNA(VLOOKUP($C11,Dulieutho,ChiTiet!X$2,FALSE)*$P$3,0),0)</f>
        <v>1500</v>
      </c>
      <c r="Q11" s="26">
        <f>IFERROR(_xlfn.IFNA(VLOOKUP($C11,Dulieutho,ChiTiet!AG$2,FALSE),0),0)</f>
        <v>5000</v>
      </c>
      <c r="R11" s="26">
        <f>IFERROR(_xlfn.IFNA(VLOOKUP($C11,Dulieutho,ChiTiet!AH$2,FALSE),0),0)</f>
        <v>1</v>
      </c>
      <c r="S11" s="26">
        <f>IFERROR(_xlfn.IFNA(VLOOKUP($C11,Dulieutho,ChiTiet!AI$2,FALSE)*$S$3,0),0)</f>
        <v>5000</v>
      </c>
    </row>
    <row r="12" spans="1:19" ht="15.6">
      <c r="B12" s="10" t="s">
        <v>97</v>
      </c>
      <c r="C12" s="9" t="s">
        <v>109</v>
      </c>
      <c r="D12" s="11" t="s">
        <v>110</v>
      </c>
      <c r="E12" s="26">
        <f>IFERROR(_xlfn.IFNA(VLOOKUP($C12,Dulieutho,ChiTiet!M$2,FALSE),0)*$E$3,0)</f>
        <v>0</v>
      </c>
      <c r="F12" s="26">
        <f>IFERROR(_xlfn.IFNA(VLOOKUP($C12,Dulieutho,ChiTiet!N$2,FALSE),0)*$F$3,0)</f>
        <v>0</v>
      </c>
      <c r="G12" s="26">
        <f>IFERROR(_xlfn.IFNA(VLOOKUP($C12,Dulieutho,ChiTiet!O$2,FALSE),0)*$G$3,0)</f>
        <v>128</v>
      </c>
      <c r="H12" s="26">
        <f>IFERROR(_xlfn.IFNA(VLOOKUP($C12,Dulieutho,ChiTiet!P$2,FALSE),0),0)</f>
        <v>50</v>
      </c>
      <c r="I12" s="26">
        <f>IFERROR(_xlfn.IFNA(VLOOKUP($C12,Dulieutho,ChiTiet!Q$2,FALSE),0),0)</f>
        <v>6</v>
      </c>
      <c r="J12" s="26">
        <f>IFERROR(_xlfn.IFNA(VLOOKUP($C12,Dulieutho,ChiTiet!R$2,FALSE),0),0)</f>
        <v>21.5</v>
      </c>
      <c r="K12" s="26">
        <f>IFERROR(_xlfn.IFNA(VLOOKUP($C12,Dulieutho,ChiTiet!S$2,FALSE)*$K$3,0),0)</f>
        <v>540</v>
      </c>
      <c r="L12" s="26">
        <f>IFERROR(_xlfn.IFNA(VLOOKUP($C12,Dulieutho,ChiTiet!U$2,FALSE),0),0)</f>
        <v>36</v>
      </c>
      <c r="M12" s="26">
        <f>IFERROR(_xlfn.IFNA(VLOOKUP($C12,Dulieutho,ChiTiet!T$2,FALSE),0),0)</f>
        <v>0</v>
      </c>
      <c r="N12" s="26">
        <f>IFERROR(_xlfn.IFNA(VLOOKUP($C12,Dulieutho,ChiTiet!V$2,FALSE)*1000,0),0)</f>
        <v>28000</v>
      </c>
      <c r="O12" s="26">
        <f>IFERROR(_xlfn.IFNA(VLOOKUP($C12,Dulieutho,ChiTiet!W$2,FALSE)*$O$3,0),0)</f>
        <v>19000</v>
      </c>
      <c r="P12" s="26">
        <f>IFERROR(_xlfn.IFNA(VLOOKUP($C12,Dulieutho,ChiTiet!X$2,FALSE)*$P$3,0),0)</f>
        <v>0</v>
      </c>
      <c r="Q12" s="26">
        <f>IFERROR(_xlfn.IFNA(VLOOKUP($C12,Dulieutho,ChiTiet!AG$2,FALSE),0),0)</f>
        <v>3000</v>
      </c>
      <c r="R12" s="26">
        <f>IFERROR(_xlfn.IFNA(VLOOKUP($C12,Dulieutho,ChiTiet!AH$2,FALSE),0),0)</f>
        <v>1</v>
      </c>
      <c r="S12" s="26">
        <f>IFERROR(_xlfn.IFNA(VLOOKUP($C12,Dulieutho,ChiTiet!AI$2,FALSE)*$S$3,0),0)</f>
        <v>3000</v>
      </c>
    </row>
    <row r="13" spans="1:19" ht="15.6">
      <c r="B13" s="10" t="s">
        <v>97</v>
      </c>
      <c r="C13" s="9" t="s">
        <v>111</v>
      </c>
      <c r="D13" s="11" t="s">
        <v>112</v>
      </c>
      <c r="E13" s="26">
        <f>IFERROR(_xlfn.IFNA(VLOOKUP($C13,Dulieutho,ChiTiet!M$2,FALSE),0)*$E$3,0)</f>
        <v>500</v>
      </c>
      <c r="F13" s="26">
        <f>IFERROR(_xlfn.IFNA(VLOOKUP($C13,Dulieutho,ChiTiet!N$2,FALSE),0)*$F$3,0)</f>
        <v>2000</v>
      </c>
      <c r="G13" s="26">
        <f>IFERROR(_xlfn.IFNA(VLOOKUP($C13,Dulieutho,ChiTiet!O$2,FALSE),0)*$G$3,0)</f>
        <v>64</v>
      </c>
      <c r="H13" s="26">
        <f>IFERROR(_xlfn.IFNA(VLOOKUP($C13,Dulieutho,ChiTiet!P$2,FALSE),0),0)</f>
        <v>0</v>
      </c>
      <c r="I13" s="26">
        <f>IFERROR(_xlfn.IFNA(VLOOKUP($C13,Dulieutho,ChiTiet!Q$2,FALSE),0),0)</f>
        <v>1</v>
      </c>
      <c r="J13" s="26">
        <f>IFERROR(_xlfn.IFNA(VLOOKUP($C13,Dulieutho,ChiTiet!R$2,FALSE),0),0)</f>
        <v>8.5</v>
      </c>
      <c r="K13" s="26">
        <f>IFERROR(_xlfn.IFNA(VLOOKUP($C13,Dulieutho,ChiTiet!S$2,FALSE)*$K$3,0),0)</f>
        <v>216</v>
      </c>
      <c r="L13" s="26">
        <f>IFERROR(_xlfn.IFNA(VLOOKUP($C13,Dulieutho,ChiTiet!U$2,FALSE),0),0)</f>
        <v>0</v>
      </c>
      <c r="M13" s="26">
        <f>IFERROR(_xlfn.IFNA(VLOOKUP($C13,Dulieutho,ChiTiet!T$2,FALSE),0),0)</f>
        <v>4</v>
      </c>
      <c r="N13" s="26">
        <f>IFERROR(_xlfn.IFNA(VLOOKUP($C13,Dulieutho,ChiTiet!V$2,FALSE)*1000,0),0)</f>
        <v>10000</v>
      </c>
      <c r="O13" s="26">
        <f>IFERROR(_xlfn.IFNA(VLOOKUP($C13,Dulieutho,ChiTiet!W$2,FALSE)*$O$3,0),0)</f>
        <v>9000</v>
      </c>
      <c r="P13" s="26">
        <f>IFERROR(_xlfn.IFNA(VLOOKUP($C13,Dulieutho,ChiTiet!X$2,FALSE)*$P$3,0),0)</f>
        <v>0</v>
      </c>
      <c r="Q13" s="26">
        <f>IFERROR(_xlfn.IFNA(VLOOKUP($C13,Dulieutho,ChiTiet!AG$2,FALSE),0),0)</f>
        <v>1000</v>
      </c>
      <c r="R13" s="26">
        <f>IFERROR(_xlfn.IFNA(VLOOKUP($C13,Dulieutho,ChiTiet!AH$2,FALSE),0),0)</f>
        <v>1</v>
      </c>
      <c r="S13" s="26">
        <f>IFERROR(_xlfn.IFNA(VLOOKUP($C13,Dulieutho,ChiTiet!AI$2,FALSE)*$S$3,0),0)</f>
        <v>1000</v>
      </c>
    </row>
    <row r="14" spans="1:19" ht="15.6">
      <c r="B14" s="10" t="s">
        <v>97</v>
      </c>
      <c r="C14" s="9" t="s">
        <v>113</v>
      </c>
      <c r="D14" s="11" t="s">
        <v>114</v>
      </c>
      <c r="E14" s="26">
        <f>IFERROR(_xlfn.IFNA(VLOOKUP($C14,Dulieutho,ChiTiet!M$2,FALSE),0)*$E$3,0)</f>
        <v>1500</v>
      </c>
      <c r="F14" s="26">
        <f>IFERROR(_xlfn.IFNA(VLOOKUP($C14,Dulieutho,ChiTiet!N$2,FALSE),0)*$F$3,0)</f>
        <v>1000</v>
      </c>
      <c r="G14" s="26">
        <f>IFERROR(_xlfn.IFNA(VLOOKUP($C14,Dulieutho,ChiTiet!O$2,FALSE),0)*$G$3,0)</f>
        <v>64</v>
      </c>
      <c r="H14" s="26">
        <f>IFERROR(_xlfn.IFNA(VLOOKUP($C14,Dulieutho,ChiTiet!P$2,FALSE),0),0)</f>
        <v>0</v>
      </c>
      <c r="I14" s="26">
        <f>IFERROR(_xlfn.IFNA(VLOOKUP($C14,Dulieutho,ChiTiet!Q$2,FALSE),0),0)</f>
        <v>3</v>
      </c>
      <c r="J14" s="26">
        <f>IFERROR(_xlfn.IFNA(VLOOKUP($C14,Dulieutho,ChiTiet!R$2,FALSE),0),0)</f>
        <v>8</v>
      </c>
      <c r="K14" s="26">
        <f>IFERROR(_xlfn.IFNA(VLOOKUP($C14,Dulieutho,ChiTiet!S$2,FALSE)*$K$3,0),0)</f>
        <v>432</v>
      </c>
      <c r="L14" s="26">
        <f>IFERROR(_xlfn.IFNA(VLOOKUP($C14,Dulieutho,ChiTiet!U$2,FALSE),0),0)</f>
        <v>24</v>
      </c>
      <c r="M14" s="26">
        <f>IFERROR(_xlfn.IFNA(VLOOKUP($C14,Dulieutho,ChiTiet!T$2,FALSE),0),0)</f>
        <v>6</v>
      </c>
      <c r="N14" s="26">
        <f>IFERROR(_xlfn.IFNA(VLOOKUP($C14,Dulieutho,ChiTiet!V$2,FALSE)*1000,0),0)</f>
        <v>18000</v>
      </c>
      <c r="O14" s="26">
        <f>IFERROR(_xlfn.IFNA(VLOOKUP($C14,Dulieutho,ChiTiet!W$2,FALSE)*$O$3,0),0)</f>
        <v>13000</v>
      </c>
      <c r="P14" s="26">
        <f>IFERROR(_xlfn.IFNA(VLOOKUP($C14,Dulieutho,ChiTiet!X$2,FALSE)*$P$3,0),0)</f>
        <v>1000</v>
      </c>
      <c r="Q14" s="26">
        <f>IFERROR(_xlfn.IFNA(VLOOKUP($C14,Dulieutho,ChiTiet!AG$2,FALSE),0),0)</f>
        <v>2000</v>
      </c>
      <c r="R14" s="26">
        <f>IFERROR(_xlfn.IFNA(VLOOKUP($C14,Dulieutho,ChiTiet!AH$2,FALSE),0),0)</f>
        <v>1</v>
      </c>
      <c r="S14" s="26">
        <f>IFERROR(_xlfn.IFNA(VLOOKUP($C14,Dulieutho,ChiTiet!AI$2,FALSE)*$S$3,0),0)</f>
        <v>2000</v>
      </c>
    </row>
    <row r="15" spans="1:19" ht="15.6">
      <c r="B15" s="10" t="s">
        <v>97</v>
      </c>
      <c r="C15" s="9" t="s">
        <v>115</v>
      </c>
      <c r="D15" s="11" t="s">
        <v>116</v>
      </c>
      <c r="E15" s="26">
        <f>IFERROR(_xlfn.IFNA(VLOOKUP($C15,Dulieutho,ChiTiet!M$2,FALSE),0)*$E$3,0)</f>
        <v>1500</v>
      </c>
      <c r="F15" s="26">
        <f>IFERROR(_xlfn.IFNA(VLOOKUP($C15,Dulieutho,ChiTiet!N$2,FALSE),0)*$F$3,0)</f>
        <v>1000</v>
      </c>
      <c r="G15" s="26">
        <f>IFERROR(_xlfn.IFNA(VLOOKUP($C15,Dulieutho,ChiTiet!O$2,FALSE),0)*$G$3,0)</f>
        <v>96</v>
      </c>
      <c r="H15" s="26">
        <f>IFERROR(_xlfn.IFNA(VLOOKUP($C15,Dulieutho,ChiTiet!P$2,FALSE),0),0)</f>
        <v>25</v>
      </c>
      <c r="I15" s="26">
        <f>IFERROR(_xlfn.IFNA(VLOOKUP($C15,Dulieutho,ChiTiet!Q$2,FALSE),0),0)</f>
        <v>2</v>
      </c>
      <c r="J15" s="26">
        <f>IFERROR(_xlfn.IFNA(VLOOKUP($C15,Dulieutho,ChiTiet!R$2,FALSE),0),0)</f>
        <v>3</v>
      </c>
      <c r="K15" s="26">
        <f>IFERROR(_xlfn.IFNA(VLOOKUP($C15,Dulieutho,ChiTiet!S$2,FALSE)*$K$3,0),0)</f>
        <v>432</v>
      </c>
      <c r="L15" s="26">
        <f>IFERROR(_xlfn.IFNA(VLOOKUP($C15,Dulieutho,ChiTiet!U$2,FALSE),0),0)</f>
        <v>24</v>
      </c>
      <c r="M15" s="26">
        <f>IFERROR(_xlfn.IFNA(VLOOKUP($C15,Dulieutho,ChiTiet!T$2,FALSE),0),0)</f>
        <v>5</v>
      </c>
      <c r="N15" s="26">
        <f>IFERROR(_xlfn.IFNA(VLOOKUP($C15,Dulieutho,ChiTiet!V$2,FALSE)*1000,0),0)</f>
        <v>14000</v>
      </c>
      <c r="O15" s="26">
        <f>IFERROR(_xlfn.IFNA(VLOOKUP($C15,Dulieutho,ChiTiet!W$2,FALSE)*$O$3,0),0)</f>
        <v>12000</v>
      </c>
      <c r="P15" s="26">
        <f>IFERROR(_xlfn.IFNA(VLOOKUP($C15,Dulieutho,ChiTiet!X$2,FALSE)*$P$3,0),0)</f>
        <v>1500</v>
      </c>
      <c r="Q15" s="26">
        <f>IFERROR(_xlfn.IFNA(VLOOKUP($C15,Dulieutho,ChiTiet!AG$2,FALSE),0),0)</f>
        <v>2000</v>
      </c>
      <c r="R15" s="26">
        <f>IFERROR(_xlfn.IFNA(VLOOKUP($C15,Dulieutho,ChiTiet!AH$2,FALSE),0),0)</f>
        <v>1</v>
      </c>
      <c r="S15" s="26">
        <f>IFERROR(_xlfn.IFNA(VLOOKUP($C15,Dulieutho,ChiTiet!AI$2,FALSE)*$S$3,0),0)</f>
        <v>2250</v>
      </c>
    </row>
    <row r="16" spans="1:19" ht="15.6">
      <c r="B16" s="10" t="s">
        <v>97</v>
      </c>
      <c r="C16" s="9" t="s">
        <v>117</v>
      </c>
      <c r="D16" s="11" t="s">
        <v>118</v>
      </c>
      <c r="E16" s="26">
        <f>IFERROR(_xlfn.IFNA(VLOOKUP($C16,Dulieutho,ChiTiet!M$2,FALSE),0)*$E$3,0)</f>
        <v>500</v>
      </c>
      <c r="F16" s="26">
        <f>IFERROR(_xlfn.IFNA(VLOOKUP($C16,Dulieutho,ChiTiet!N$2,FALSE),0)*$F$3,0)</f>
        <v>1000</v>
      </c>
      <c r="G16" s="26">
        <f>IFERROR(_xlfn.IFNA(VLOOKUP($C16,Dulieutho,ChiTiet!O$2,FALSE),0)*$G$3,0)</f>
        <v>32</v>
      </c>
      <c r="H16" s="26">
        <f>IFERROR(_xlfn.IFNA(VLOOKUP($C16,Dulieutho,ChiTiet!P$2,FALSE),0),0)</f>
        <v>0</v>
      </c>
      <c r="I16" s="26">
        <f>IFERROR(_xlfn.IFNA(VLOOKUP($C16,Dulieutho,ChiTiet!Q$2,FALSE),0),0)</f>
        <v>2</v>
      </c>
      <c r="J16" s="26">
        <f>IFERROR(_xlfn.IFNA(VLOOKUP($C16,Dulieutho,ChiTiet!R$2,FALSE),0),0)</f>
        <v>4</v>
      </c>
      <c r="K16" s="26">
        <f>IFERROR(_xlfn.IFNA(VLOOKUP($C16,Dulieutho,ChiTiet!S$2,FALSE)*$K$3,0),0)</f>
        <v>432</v>
      </c>
      <c r="L16" s="26">
        <f>IFERROR(_xlfn.IFNA(VLOOKUP($C16,Dulieutho,ChiTiet!U$2,FALSE),0),0)</f>
        <v>12</v>
      </c>
      <c r="M16" s="26">
        <f>IFERROR(_xlfn.IFNA(VLOOKUP($C16,Dulieutho,ChiTiet!T$2,FALSE),0),0)</f>
        <v>2</v>
      </c>
      <c r="N16" s="26">
        <f>IFERROR(_xlfn.IFNA(VLOOKUP($C16,Dulieutho,ChiTiet!V$2,FALSE)*1000,0),0)</f>
        <v>8000</v>
      </c>
      <c r="O16" s="26">
        <f>IFERROR(_xlfn.IFNA(VLOOKUP($C16,Dulieutho,ChiTiet!W$2,FALSE)*$O$3,0),0)</f>
        <v>13000</v>
      </c>
      <c r="P16" s="26">
        <f>IFERROR(_xlfn.IFNA(VLOOKUP($C16,Dulieutho,ChiTiet!X$2,FALSE)*$P$3,0),0)</f>
        <v>500</v>
      </c>
      <c r="Q16" s="26">
        <f>IFERROR(_xlfn.IFNA(VLOOKUP($C16,Dulieutho,ChiTiet!AG$2,FALSE),0),0)</f>
        <v>1000</v>
      </c>
      <c r="R16" s="26">
        <f>IFERROR(_xlfn.IFNA(VLOOKUP($C16,Dulieutho,ChiTiet!AH$2,FALSE),0),0)</f>
        <v>1</v>
      </c>
      <c r="S16" s="26">
        <f>IFERROR(_xlfn.IFNA(VLOOKUP($C16,Dulieutho,ChiTiet!AI$2,FALSE)*$S$3,0),0)</f>
        <v>1000</v>
      </c>
    </row>
    <row r="17" spans="2:19" ht="15.6">
      <c r="B17" s="10" t="s">
        <v>97</v>
      </c>
      <c r="C17" s="9" t="s">
        <v>119</v>
      </c>
      <c r="D17" s="11" t="s">
        <v>120</v>
      </c>
      <c r="E17" s="26">
        <f>IFERROR(_xlfn.IFNA(VLOOKUP($C17,Dulieutho,ChiTiet!M$2,FALSE),0)*$E$3,0)</f>
        <v>2000</v>
      </c>
      <c r="F17" s="26">
        <f>IFERROR(_xlfn.IFNA(VLOOKUP($C17,Dulieutho,ChiTiet!N$2,FALSE),0)*$F$3,0)</f>
        <v>1000</v>
      </c>
      <c r="G17" s="26">
        <f>IFERROR(_xlfn.IFNA(VLOOKUP($C17,Dulieutho,ChiTiet!O$2,FALSE),0)*$G$3,0)</f>
        <v>256</v>
      </c>
      <c r="H17" s="26">
        <f>IFERROR(_xlfn.IFNA(VLOOKUP($C17,Dulieutho,ChiTiet!P$2,FALSE),0),0)</f>
        <v>0</v>
      </c>
      <c r="I17" s="26">
        <f>IFERROR(_xlfn.IFNA(VLOOKUP($C17,Dulieutho,ChiTiet!Q$2,FALSE),0),0)</f>
        <v>1</v>
      </c>
      <c r="J17" s="26">
        <f>IFERROR(_xlfn.IFNA(VLOOKUP($C17,Dulieutho,ChiTiet!R$2,FALSE),0),0)</f>
        <v>9</v>
      </c>
      <c r="K17" s="26">
        <f>IFERROR(_xlfn.IFNA(VLOOKUP($C17,Dulieutho,ChiTiet!S$2,FALSE)*$K$3,0),0)</f>
        <v>540</v>
      </c>
      <c r="L17" s="26">
        <f>IFERROR(_xlfn.IFNA(VLOOKUP($C17,Dulieutho,ChiTiet!U$2,FALSE),0),0)</f>
        <v>24</v>
      </c>
      <c r="M17" s="26">
        <f>IFERROR(_xlfn.IFNA(VLOOKUP($C17,Dulieutho,ChiTiet!T$2,FALSE),0),0)</f>
        <v>0</v>
      </c>
      <c r="N17" s="26">
        <f>IFERROR(_xlfn.IFNA(VLOOKUP($C17,Dulieutho,ChiTiet!V$2,FALSE)*1000,0),0)</f>
        <v>12000</v>
      </c>
      <c r="O17" s="26">
        <f>IFERROR(_xlfn.IFNA(VLOOKUP($C17,Dulieutho,ChiTiet!W$2,FALSE)*$O$3,0),0)</f>
        <v>10000</v>
      </c>
      <c r="P17" s="26">
        <f>IFERROR(_xlfn.IFNA(VLOOKUP($C17,Dulieutho,ChiTiet!X$2,FALSE)*$P$3,0),0)</f>
        <v>1000</v>
      </c>
      <c r="Q17" s="26">
        <f>IFERROR(_xlfn.IFNA(VLOOKUP($C17,Dulieutho,ChiTiet!AG$2,FALSE),0),0)</f>
        <v>1000</v>
      </c>
      <c r="R17" s="26">
        <f>IFERROR(_xlfn.IFNA(VLOOKUP($C17,Dulieutho,ChiTiet!AH$2,FALSE),0),0)</f>
        <v>0</v>
      </c>
      <c r="S17" s="26">
        <f>IFERROR(_xlfn.IFNA(VLOOKUP($C17,Dulieutho,ChiTiet!AI$2,FALSE)*$S$3,0),0)</f>
        <v>1000</v>
      </c>
    </row>
    <row r="18" spans="2:19" ht="15.6">
      <c r="B18" s="10" t="s">
        <v>97</v>
      </c>
      <c r="C18" s="9" t="s">
        <v>121</v>
      </c>
      <c r="D18" s="11" t="s">
        <v>122</v>
      </c>
      <c r="E18" s="26">
        <f>IFERROR(_xlfn.IFNA(VLOOKUP($C18,Dulieutho,ChiTiet!M$2,FALSE),0)*$E$3,0)</f>
        <v>0</v>
      </c>
      <c r="F18" s="26">
        <f>IFERROR(_xlfn.IFNA(VLOOKUP($C18,Dulieutho,ChiTiet!N$2,FALSE),0)*$F$3,0)</f>
        <v>0</v>
      </c>
      <c r="G18" s="26">
        <f>IFERROR(_xlfn.IFNA(VLOOKUP($C18,Dulieutho,ChiTiet!O$2,FALSE),0)*$G$3,0)</f>
        <v>0</v>
      </c>
      <c r="H18" s="26">
        <f>IFERROR(_xlfn.IFNA(VLOOKUP($C18,Dulieutho,ChiTiet!P$2,FALSE),0),0)</f>
        <v>25</v>
      </c>
      <c r="I18" s="26">
        <f>IFERROR(_xlfn.IFNA(VLOOKUP($C18,Dulieutho,ChiTiet!Q$2,FALSE),0),0)</f>
        <v>0</v>
      </c>
      <c r="J18" s="26">
        <f>IFERROR(_xlfn.IFNA(VLOOKUP($C18,Dulieutho,ChiTiet!R$2,FALSE),0),0)</f>
        <v>4</v>
      </c>
      <c r="K18" s="26">
        <f>IFERROR(_xlfn.IFNA(VLOOKUP($C18,Dulieutho,ChiTiet!S$2,FALSE)*$K$3,0),0)</f>
        <v>0</v>
      </c>
      <c r="L18" s="26">
        <f>IFERROR(_xlfn.IFNA(VLOOKUP($C18,Dulieutho,ChiTiet!U$2,FALSE),0),0)</f>
        <v>12</v>
      </c>
      <c r="M18" s="26">
        <f>IFERROR(_xlfn.IFNA(VLOOKUP($C18,Dulieutho,ChiTiet!T$2,FALSE),0),0)</f>
        <v>2</v>
      </c>
      <c r="N18" s="26">
        <f>IFERROR(_xlfn.IFNA(VLOOKUP($C18,Dulieutho,ChiTiet!V$2,FALSE)*1000,0),0)</f>
        <v>4000</v>
      </c>
      <c r="O18" s="26">
        <f>IFERROR(_xlfn.IFNA(VLOOKUP($C18,Dulieutho,ChiTiet!W$2,FALSE)*$O$3,0),0)</f>
        <v>0</v>
      </c>
      <c r="P18" s="26">
        <f>IFERROR(_xlfn.IFNA(VLOOKUP($C18,Dulieutho,ChiTiet!X$2,FALSE)*$P$3,0),0)</f>
        <v>0</v>
      </c>
      <c r="Q18" s="26">
        <f>IFERROR(_xlfn.IFNA(VLOOKUP($C18,Dulieutho,ChiTiet!AG$2,FALSE),0),0)</f>
        <v>0</v>
      </c>
      <c r="R18" s="26">
        <f>IFERROR(_xlfn.IFNA(VLOOKUP($C18,Dulieutho,ChiTiet!AH$2,FALSE),0),0)</f>
        <v>0</v>
      </c>
      <c r="S18" s="26">
        <f>IFERROR(_xlfn.IFNA(VLOOKUP($C18,Dulieutho,ChiTiet!AI$2,FALSE)*$S$3,0),0)</f>
        <v>0</v>
      </c>
    </row>
    <row r="19" spans="2:19" ht="15.6">
      <c r="B19" s="10" t="s">
        <v>97</v>
      </c>
      <c r="C19" s="9" t="s">
        <v>123</v>
      </c>
      <c r="D19" s="11" t="s">
        <v>124</v>
      </c>
      <c r="E19" s="26">
        <f>IFERROR(_xlfn.IFNA(VLOOKUP($C19,Dulieutho,ChiTiet!M$2,FALSE),0)*$E$3,0)</f>
        <v>0</v>
      </c>
      <c r="F19" s="26">
        <f>IFERROR(_xlfn.IFNA(VLOOKUP($C19,Dulieutho,ChiTiet!N$2,FALSE),0)*$F$3,0)</f>
        <v>0</v>
      </c>
      <c r="G19" s="26">
        <f>IFERROR(_xlfn.IFNA(VLOOKUP($C19,Dulieutho,ChiTiet!O$2,FALSE),0)*$G$3,0)</f>
        <v>32</v>
      </c>
      <c r="H19" s="26">
        <f>IFERROR(_xlfn.IFNA(VLOOKUP($C19,Dulieutho,ChiTiet!P$2,FALSE),0),0)</f>
        <v>0</v>
      </c>
      <c r="I19" s="26">
        <f>IFERROR(_xlfn.IFNA(VLOOKUP($C19,Dulieutho,ChiTiet!Q$2,FALSE),0),0)</f>
        <v>1</v>
      </c>
      <c r="J19" s="26">
        <f>IFERROR(_xlfn.IFNA(VLOOKUP($C19,Dulieutho,ChiTiet!R$2,FALSE),0),0)</f>
        <v>11</v>
      </c>
      <c r="K19" s="26">
        <f>IFERROR(_xlfn.IFNA(VLOOKUP($C19,Dulieutho,ChiTiet!S$2,FALSE)*$K$3,0),0)</f>
        <v>108</v>
      </c>
      <c r="L19" s="26">
        <f>IFERROR(_xlfn.IFNA(VLOOKUP($C19,Dulieutho,ChiTiet!U$2,FALSE),0),0)</f>
        <v>0</v>
      </c>
      <c r="M19" s="26">
        <f>IFERROR(_xlfn.IFNA(VLOOKUP($C19,Dulieutho,ChiTiet!T$2,FALSE),0),0)</f>
        <v>2</v>
      </c>
      <c r="N19" s="26">
        <f>IFERROR(_xlfn.IFNA(VLOOKUP($C19,Dulieutho,ChiTiet!V$2,FALSE)*1000,0),0)</f>
        <v>8000</v>
      </c>
      <c r="O19" s="26">
        <f>IFERROR(_xlfn.IFNA(VLOOKUP($C19,Dulieutho,ChiTiet!W$2,FALSE)*$O$3,0),0)</f>
        <v>11000</v>
      </c>
      <c r="P19" s="26">
        <f>IFERROR(_xlfn.IFNA(VLOOKUP($C19,Dulieutho,ChiTiet!X$2,FALSE)*$P$3,0),0)</f>
        <v>500</v>
      </c>
      <c r="Q19" s="26">
        <f>IFERROR(_xlfn.IFNA(VLOOKUP($C19,Dulieutho,ChiTiet!AG$2,FALSE),0),0)</f>
        <v>0</v>
      </c>
      <c r="R19" s="26">
        <f>IFERROR(_xlfn.IFNA(VLOOKUP($C19,Dulieutho,ChiTiet!AH$2,FALSE),0),0)</f>
        <v>0</v>
      </c>
      <c r="S19" s="26">
        <f>IFERROR(_xlfn.IFNA(VLOOKUP($C19,Dulieutho,ChiTiet!AI$2,FALSE)*$S$3,0),0)</f>
        <v>0</v>
      </c>
    </row>
    <row r="20" spans="2:19" ht="15.6">
      <c r="B20" s="10" t="s">
        <v>97</v>
      </c>
      <c r="C20" s="9" t="s">
        <v>125</v>
      </c>
      <c r="D20" s="11" t="s">
        <v>126</v>
      </c>
      <c r="E20" s="26">
        <f>IFERROR(_xlfn.IFNA(VLOOKUP($C20,Dulieutho,ChiTiet!M$2,FALSE),0)*$E$3,0)</f>
        <v>1500</v>
      </c>
      <c r="F20" s="26">
        <f>IFERROR(_xlfn.IFNA(VLOOKUP($C20,Dulieutho,ChiTiet!N$2,FALSE),0)*$F$3,0)</f>
        <v>3000</v>
      </c>
      <c r="G20" s="26">
        <f>IFERROR(_xlfn.IFNA(VLOOKUP($C20,Dulieutho,ChiTiet!O$2,FALSE),0)*$G$3,0)</f>
        <v>160</v>
      </c>
      <c r="H20" s="26">
        <f>IFERROR(_xlfn.IFNA(VLOOKUP($C20,Dulieutho,ChiTiet!P$2,FALSE),0),0)</f>
        <v>50</v>
      </c>
      <c r="I20" s="26">
        <f>IFERROR(_xlfn.IFNA(VLOOKUP($C20,Dulieutho,ChiTiet!Q$2,FALSE),0),0)</f>
        <v>10</v>
      </c>
      <c r="J20" s="26">
        <f>IFERROR(_xlfn.IFNA(VLOOKUP($C20,Dulieutho,ChiTiet!R$2,FALSE),0),0)</f>
        <v>22.5</v>
      </c>
      <c r="K20" s="26">
        <f>IFERROR(_xlfn.IFNA(VLOOKUP($C20,Dulieutho,ChiTiet!S$2,FALSE)*$K$3,0),0)</f>
        <v>1080</v>
      </c>
      <c r="L20" s="26">
        <f>IFERROR(_xlfn.IFNA(VLOOKUP($C20,Dulieutho,ChiTiet!U$2,FALSE),0),0)</f>
        <v>72</v>
      </c>
      <c r="M20" s="26">
        <f>IFERROR(_xlfn.IFNA(VLOOKUP($C20,Dulieutho,ChiTiet!T$2,FALSE),0),0)</f>
        <v>5</v>
      </c>
      <c r="N20" s="26">
        <f>IFERROR(_xlfn.IFNA(VLOOKUP($C20,Dulieutho,ChiTiet!V$2,FALSE)*1000,0),0)</f>
        <v>24000</v>
      </c>
      <c r="O20" s="26">
        <f>IFERROR(_xlfn.IFNA(VLOOKUP($C20,Dulieutho,ChiTiet!W$2,FALSE)*$O$3,0),0)</f>
        <v>11000</v>
      </c>
      <c r="P20" s="26">
        <f>IFERROR(_xlfn.IFNA(VLOOKUP($C20,Dulieutho,ChiTiet!X$2,FALSE)*$P$3,0),0)</f>
        <v>2000</v>
      </c>
      <c r="Q20" s="26">
        <f>IFERROR(_xlfn.IFNA(VLOOKUP($C20,Dulieutho,ChiTiet!AG$2,FALSE),0),0)</f>
        <v>3000</v>
      </c>
      <c r="R20" s="26">
        <f>IFERROR(_xlfn.IFNA(VLOOKUP($C20,Dulieutho,ChiTiet!AH$2,FALSE),0),0)</f>
        <v>1</v>
      </c>
      <c r="S20" s="26">
        <f>IFERROR(_xlfn.IFNA(VLOOKUP($C20,Dulieutho,ChiTiet!AI$2,FALSE)*$S$3,0),0)</f>
        <v>3000</v>
      </c>
    </row>
    <row r="21" spans="2:19" ht="15.6">
      <c r="B21" s="10" t="s">
        <v>97</v>
      </c>
      <c r="C21" s="9" t="s">
        <v>0</v>
      </c>
      <c r="D21" s="11" t="s">
        <v>127</v>
      </c>
      <c r="E21" s="26">
        <f>IFERROR(_xlfn.IFNA(VLOOKUP($C21,Dulieutho,ChiTiet!M$2,FALSE),0)*$E$3,0)</f>
        <v>0</v>
      </c>
      <c r="F21" s="26">
        <f>IFERROR(_xlfn.IFNA(VLOOKUP($C21,Dulieutho,ChiTiet!N$2,FALSE),0)*$F$3,0)</f>
        <v>2000</v>
      </c>
      <c r="G21" s="26">
        <f>IFERROR(_xlfn.IFNA(VLOOKUP($C21,Dulieutho,ChiTiet!O$2,FALSE),0)*$G$3,0)</f>
        <v>224</v>
      </c>
      <c r="H21" s="26">
        <f>IFERROR(_xlfn.IFNA(VLOOKUP($C21,Dulieutho,ChiTiet!P$2,FALSE),0),0)</f>
        <v>0</v>
      </c>
      <c r="I21" s="26">
        <f>IFERROR(_xlfn.IFNA(VLOOKUP($C21,Dulieutho,ChiTiet!Q$2,FALSE),0),0)</f>
        <v>0</v>
      </c>
      <c r="J21" s="26">
        <f>IFERROR(_xlfn.IFNA(VLOOKUP($C21,Dulieutho,ChiTiet!R$2,FALSE),0),0)</f>
        <v>2.5</v>
      </c>
      <c r="K21" s="26">
        <f>IFERROR(_xlfn.IFNA(VLOOKUP($C21,Dulieutho,ChiTiet!S$2,FALSE)*$K$3,0),0)</f>
        <v>540</v>
      </c>
      <c r="L21" s="26">
        <f>IFERROR(_xlfn.IFNA(VLOOKUP($C21,Dulieutho,ChiTiet!U$2,FALSE),0),0)</f>
        <v>0</v>
      </c>
      <c r="M21" s="26">
        <f>IFERROR(_xlfn.IFNA(VLOOKUP($C21,Dulieutho,ChiTiet!T$2,FALSE),0),0)</f>
        <v>2</v>
      </c>
      <c r="N21" s="26">
        <f>IFERROR(_xlfn.IFNA(VLOOKUP($C21,Dulieutho,ChiTiet!V$2,FALSE)*1000,0),0)</f>
        <v>14000</v>
      </c>
      <c r="O21" s="26">
        <f>IFERROR(_xlfn.IFNA(VLOOKUP($C21,Dulieutho,ChiTiet!W$2,FALSE)*$O$3,0),0)</f>
        <v>10000</v>
      </c>
      <c r="P21" s="26">
        <f>IFERROR(_xlfn.IFNA(VLOOKUP($C21,Dulieutho,ChiTiet!X$2,FALSE)*$P$3,0),0)</f>
        <v>0</v>
      </c>
      <c r="Q21" s="26">
        <f>IFERROR(_xlfn.IFNA(VLOOKUP($C21,Dulieutho,ChiTiet!AG$2,FALSE),0),0)</f>
        <v>1000</v>
      </c>
      <c r="R21" s="26">
        <f>IFERROR(_xlfn.IFNA(VLOOKUP($C21,Dulieutho,ChiTiet!AH$2,FALSE),0),0)</f>
        <v>0</v>
      </c>
      <c r="S21" s="26">
        <f>IFERROR(_xlfn.IFNA(VLOOKUP($C21,Dulieutho,ChiTiet!AI$2,FALSE)*$S$3,0),0)</f>
        <v>1000</v>
      </c>
    </row>
    <row r="22" spans="2:19" ht="15.6">
      <c r="B22" s="10" t="s">
        <v>97</v>
      </c>
      <c r="C22" s="9" t="s">
        <v>128</v>
      </c>
      <c r="D22" s="11" t="s">
        <v>129</v>
      </c>
      <c r="E22" s="26">
        <f>IFERROR(_xlfn.IFNA(VLOOKUP($C22,Dulieutho,ChiTiet!M$2,FALSE),0)*$E$3,0)</f>
        <v>0</v>
      </c>
      <c r="F22" s="26">
        <f>IFERROR(_xlfn.IFNA(VLOOKUP($C22,Dulieutho,ChiTiet!N$2,FALSE),0)*$F$3,0)</f>
        <v>2000</v>
      </c>
      <c r="G22" s="26">
        <f>IFERROR(_xlfn.IFNA(VLOOKUP($C22,Dulieutho,ChiTiet!O$2,FALSE),0)*$G$3,0)</f>
        <v>64</v>
      </c>
      <c r="H22" s="26">
        <f>IFERROR(_xlfn.IFNA(VLOOKUP($C22,Dulieutho,ChiTiet!P$2,FALSE),0),0)</f>
        <v>25</v>
      </c>
      <c r="I22" s="26">
        <f>IFERROR(_xlfn.IFNA(VLOOKUP($C22,Dulieutho,ChiTiet!Q$2,FALSE),0),0)</f>
        <v>3</v>
      </c>
      <c r="J22" s="26">
        <f>IFERROR(_xlfn.IFNA(VLOOKUP($C22,Dulieutho,ChiTiet!R$2,FALSE),0),0)</f>
        <v>10</v>
      </c>
      <c r="K22" s="26">
        <f>IFERROR(_xlfn.IFNA(VLOOKUP($C22,Dulieutho,ChiTiet!S$2,FALSE)*$K$3,0),0)</f>
        <v>756</v>
      </c>
      <c r="L22" s="26">
        <f>IFERROR(_xlfn.IFNA(VLOOKUP($C22,Dulieutho,ChiTiet!U$2,FALSE),0),0)</f>
        <v>24</v>
      </c>
      <c r="M22" s="26">
        <f>IFERROR(_xlfn.IFNA(VLOOKUP($C22,Dulieutho,ChiTiet!T$2,FALSE),0),0)</f>
        <v>1</v>
      </c>
      <c r="N22" s="26">
        <f>IFERROR(_xlfn.IFNA(VLOOKUP($C22,Dulieutho,ChiTiet!V$2,FALSE)*1000,0),0)</f>
        <v>10000</v>
      </c>
      <c r="O22" s="26">
        <f>IFERROR(_xlfn.IFNA(VLOOKUP($C22,Dulieutho,ChiTiet!W$2,FALSE)*$O$3,0),0)</f>
        <v>7000</v>
      </c>
      <c r="P22" s="26">
        <f>IFERROR(_xlfn.IFNA(VLOOKUP($C22,Dulieutho,ChiTiet!X$2,FALSE)*$P$3,0),0)</f>
        <v>0</v>
      </c>
      <c r="Q22" s="26">
        <f>IFERROR(_xlfn.IFNA(VLOOKUP($C22,Dulieutho,ChiTiet!AG$2,FALSE),0),0)</f>
        <v>2000</v>
      </c>
      <c r="R22" s="26">
        <f>IFERROR(_xlfn.IFNA(VLOOKUP($C22,Dulieutho,ChiTiet!AH$2,FALSE),0),0)</f>
        <v>0</v>
      </c>
      <c r="S22" s="26">
        <f>IFERROR(_xlfn.IFNA(VLOOKUP($C22,Dulieutho,ChiTiet!AI$2,FALSE)*$S$3,0),0)</f>
        <v>2000</v>
      </c>
    </row>
    <row r="23" spans="2:19" ht="15.6">
      <c r="B23" s="10" t="s">
        <v>97</v>
      </c>
      <c r="C23" s="9" t="s">
        <v>130</v>
      </c>
      <c r="D23" s="11" t="s">
        <v>131</v>
      </c>
      <c r="E23" s="26">
        <f>IFERROR(_xlfn.IFNA(VLOOKUP($C23,Dulieutho,ChiTiet!M$2,FALSE),0)*$E$3,0)</f>
        <v>0</v>
      </c>
      <c r="F23" s="26">
        <f>IFERROR(_xlfn.IFNA(VLOOKUP($C23,Dulieutho,ChiTiet!N$2,FALSE),0)*$F$3,0)</f>
        <v>2000</v>
      </c>
      <c r="G23" s="26">
        <f>IFERROR(_xlfn.IFNA(VLOOKUP($C23,Dulieutho,ChiTiet!O$2,FALSE),0)*$G$3,0)</f>
        <v>96</v>
      </c>
      <c r="H23" s="26">
        <f>IFERROR(_xlfn.IFNA(VLOOKUP($C23,Dulieutho,ChiTiet!P$2,FALSE),0),0)</f>
        <v>25</v>
      </c>
      <c r="I23" s="26">
        <f>IFERROR(_xlfn.IFNA(VLOOKUP($C23,Dulieutho,ChiTiet!Q$2,FALSE),0),0)</f>
        <v>3</v>
      </c>
      <c r="J23" s="26">
        <f>IFERROR(_xlfn.IFNA(VLOOKUP($C23,Dulieutho,ChiTiet!R$2,FALSE),0),0)</f>
        <v>16.5</v>
      </c>
      <c r="K23" s="26">
        <f>IFERROR(_xlfn.IFNA(VLOOKUP($C23,Dulieutho,ChiTiet!S$2,FALSE)*$K$3,0),0)</f>
        <v>540</v>
      </c>
      <c r="L23" s="26">
        <f>IFERROR(_xlfn.IFNA(VLOOKUP($C23,Dulieutho,ChiTiet!U$2,FALSE),0),0)</f>
        <v>12</v>
      </c>
      <c r="M23" s="26">
        <f>IFERROR(_xlfn.IFNA(VLOOKUP($C23,Dulieutho,ChiTiet!T$2,FALSE),0),0)</f>
        <v>0</v>
      </c>
      <c r="N23" s="26">
        <f>IFERROR(_xlfn.IFNA(VLOOKUP($C23,Dulieutho,ChiTiet!V$2,FALSE)*1000,0),0)</f>
        <v>12000</v>
      </c>
      <c r="O23" s="26">
        <f>IFERROR(_xlfn.IFNA(VLOOKUP($C23,Dulieutho,ChiTiet!W$2,FALSE)*$O$3,0),0)</f>
        <v>9000</v>
      </c>
      <c r="P23" s="26">
        <f>IFERROR(_xlfn.IFNA(VLOOKUP($C23,Dulieutho,ChiTiet!X$2,FALSE)*$P$3,0),0)</f>
        <v>0</v>
      </c>
      <c r="Q23" s="26">
        <f>IFERROR(_xlfn.IFNA(VLOOKUP($C23,Dulieutho,ChiTiet!AG$2,FALSE),0),0)</f>
        <v>2000</v>
      </c>
      <c r="R23" s="26">
        <f>IFERROR(_xlfn.IFNA(VLOOKUP($C23,Dulieutho,ChiTiet!AH$2,FALSE),0),0)</f>
        <v>0</v>
      </c>
      <c r="S23" s="26">
        <f>IFERROR(_xlfn.IFNA(VLOOKUP($C23,Dulieutho,ChiTiet!AI$2,FALSE)*$S$3,0),0)</f>
        <v>2000</v>
      </c>
    </row>
    <row r="24" spans="2:19" ht="15.6">
      <c r="B24" s="10" t="s">
        <v>97</v>
      </c>
      <c r="C24" s="9" t="s">
        <v>132</v>
      </c>
      <c r="D24" s="11" t="s">
        <v>133</v>
      </c>
      <c r="E24" s="26">
        <f>IFERROR(_xlfn.IFNA(VLOOKUP($C24,Dulieutho,ChiTiet!M$2,FALSE),0)*$E$3,0)</f>
        <v>0</v>
      </c>
      <c r="F24" s="26">
        <f>IFERROR(_xlfn.IFNA(VLOOKUP($C24,Dulieutho,ChiTiet!N$2,FALSE),0)*$F$3,0)</f>
        <v>0</v>
      </c>
      <c r="G24" s="26">
        <f>IFERROR(_xlfn.IFNA(VLOOKUP($C24,Dulieutho,ChiTiet!O$2,FALSE),0)*$G$3,0)</f>
        <v>0</v>
      </c>
      <c r="H24" s="26">
        <f>IFERROR(_xlfn.IFNA(VLOOKUP($C24,Dulieutho,ChiTiet!P$2,FALSE),0),0)</f>
        <v>0</v>
      </c>
      <c r="I24" s="26">
        <f>IFERROR(_xlfn.IFNA(VLOOKUP($C24,Dulieutho,ChiTiet!Q$2,FALSE),0),0)</f>
        <v>0</v>
      </c>
      <c r="J24" s="26">
        <f>IFERROR(_xlfn.IFNA(VLOOKUP($C24,Dulieutho,ChiTiet!R$2,FALSE),0),0)</f>
        <v>0</v>
      </c>
      <c r="K24" s="26">
        <f>IFERROR(_xlfn.IFNA(VLOOKUP($C24,Dulieutho,ChiTiet!S$2,FALSE)*$K$3,0),0)</f>
        <v>864</v>
      </c>
      <c r="L24" s="26">
        <f>IFERROR(_xlfn.IFNA(VLOOKUP($C24,Dulieutho,ChiTiet!U$2,FALSE),0),0)</f>
        <v>0</v>
      </c>
      <c r="M24" s="26">
        <f>IFERROR(_xlfn.IFNA(VLOOKUP($C24,Dulieutho,ChiTiet!T$2,FALSE),0),0)</f>
        <v>0</v>
      </c>
      <c r="N24" s="26">
        <f>IFERROR(_xlfn.IFNA(VLOOKUP($C24,Dulieutho,ChiTiet!V$2,FALSE)*1000,0),0)</f>
        <v>4000</v>
      </c>
      <c r="O24" s="26">
        <f>IFERROR(_xlfn.IFNA(VLOOKUP($C24,Dulieutho,ChiTiet!W$2,FALSE)*$O$3,0),0)</f>
        <v>10000</v>
      </c>
      <c r="P24" s="26">
        <f>IFERROR(_xlfn.IFNA(VLOOKUP($C24,Dulieutho,ChiTiet!X$2,FALSE)*$P$3,0),0)</f>
        <v>0</v>
      </c>
      <c r="Q24" s="26">
        <f>IFERROR(_xlfn.IFNA(VLOOKUP($C24,Dulieutho,ChiTiet!AG$2,FALSE),0),0)</f>
        <v>1000</v>
      </c>
      <c r="R24" s="26">
        <f>IFERROR(_xlfn.IFNA(VLOOKUP($C24,Dulieutho,ChiTiet!AH$2,FALSE),0),0)</f>
        <v>1</v>
      </c>
      <c r="S24" s="26">
        <f>IFERROR(_xlfn.IFNA(VLOOKUP($C24,Dulieutho,ChiTiet!AI$2,FALSE)*$S$3,0),0)</f>
        <v>1000</v>
      </c>
    </row>
    <row r="25" spans="2:19" ht="15.6">
      <c r="B25" s="10" t="s">
        <v>97</v>
      </c>
      <c r="C25" s="9" t="s">
        <v>134</v>
      </c>
      <c r="D25" s="11" t="s">
        <v>135</v>
      </c>
      <c r="E25" s="26">
        <f>IFERROR(_xlfn.IFNA(VLOOKUP($C25,Dulieutho,ChiTiet!M$2,FALSE),0)*$E$3,0)</f>
        <v>500</v>
      </c>
      <c r="F25" s="26">
        <f>IFERROR(_xlfn.IFNA(VLOOKUP($C25,Dulieutho,ChiTiet!N$2,FALSE),0)*$F$3,0)</f>
        <v>0</v>
      </c>
      <c r="G25" s="26">
        <f>IFERROR(_xlfn.IFNA(VLOOKUP($C25,Dulieutho,ChiTiet!O$2,FALSE),0)*$G$3,0)</f>
        <v>32</v>
      </c>
      <c r="H25" s="26">
        <f>IFERROR(_xlfn.IFNA(VLOOKUP($C25,Dulieutho,ChiTiet!P$2,FALSE),0),0)</f>
        <v>0</v>
      </c>
      <c r="I25" s="26">
        <f>IFERROR(_xlfn.IFNA(VLOOKUP($C25,Dulieutho,ChiTiet!Q$2,FALSE),0),0)</f>
        <v>1</v>
      </c>
      <c r="J25" s="26">
        <f>IFERROR(_xlfn.IFNA(VLOOKUP($C25,Dulieutho,ChiTiet!R$2,FALSE),0),0)</f>
        <v>12</v>
      </c>
      <c r="K25" s="26">
        <f>IFERROR(_xlfn.IFNA(VLOOKUP($C25,Dulieutho,ChiTiet!S$2,FALSE)*$K$3,0),0)</f>
        <v>324</v>
      </c>
      <c r="L25" s="26">
        <f>IFERROR(_xlfn.IFNA(VLOOKUP($C25,Dulieutho,ChiTiet!U$2,FALSE),0),0)</f>
        <v>12</v>
      </c>
      <c r="M25" s="26">
        <f>IFERROR(_xlfn.IFNA(VLOOKUP($C25,Dulieutho,ChiTiet!T$2,FALSE),0),0)</f>
        <v>4</v>
      </c>
      <c r="N25" s="26">
        <f>IFERROR(_xlfn.IFNA(VLOOKUP($C25,Dulieutho,ChiTiet!V$2,FALSE)*1000,0),0)</f>
        <v>8000</v>
      </c>
      <c r="O25" s="26">
        <f>IFERROR(_xlfn.IFNA(VLOOKUP($C25,Dulieutho,ChiTiet!W$2,FALSE)*$O$3,0),0)</f>
        <v>4000</v>
      </c>
      <c r="P25" s="26">
        <f>IFERROR(_xlfn.IFNA(VLOOKUP($C25,Dulieutho,ChiTiet!X$2,FALSE)*$P$3,0),0)</f>
        <v>500</v>
      </c>
      <c r="Q25" s="26">
        <f>IFERROR(_xlfn.IFNA(VLOOKUP($C25,Dulieutho,ChiTiet!AG$2,FALSE),0),0)</f>
        <v>1000</v>
      </c>
      <c r="R25" s="26">
        <f>IFERROR(_xlfn.IFNA(VLOOKUP($C25,Dulieutho,ChiTiet!AH$2,FALSE),0),0)</f>
        <v>0</v>
      </c>
      <c r="S25" s="26">
        <f>IFERROR(_xlfn.IFNA(VLOOKUP($C25,Dulieutho,ChiTiet!AI$2,FALSE)*$S$3,0),0)</f>
        <v>1000</v>
      </c>
    </row>
    <row r="26" spans="2:19" ht="15.6">
      <c r="B26" s="10" t="s">
        <v>97</v>
      </c>
      <c r="C26" s="9" t="s">
        <v>136</v>
      </c>
      <c r="D26" s="11" t="s">
        <v>137</v>
      </c>
      <c r="E26" s="26">
        <f>IFERROR(_xlfn.IFNA(VLOOKUP($C26,Dulieutho,ChiTiet!M$2,FALSE),0)*$E$3,0)</f>
        <v>500</v>
      </c>
      <c r="F26" s="26">
        <f>IFERROR(_xlfn.IFNA(VLOOKUP($C26,Dulieutho,ChiTiet!N$2,FALSE),0)*$F$3,0)</f>
        <v>0</v>
      </c>
      <c r="G26" s="26">
        <f>IFERROR(_xlfn.IFNA(VLOOKUP($C26,Dulieutho,ChiTiet!O$2,FALSE),0)*$G$3,0)</f>
        <v>0</v>
      </c>
      <c r="H26" s="26">
        <f>IFERROR(_xlfn.IFNA(VLOOKUP($C26,Dulieutho,ChiTiet!P$2,FALSE),0),0)</f>
        <v>0</v>
      </c>
      <c r="I26" s="26">
        <f>IFERROR(_xlfn.IFNA(VLOOKUP($C26,Dulieutho,ChiTiet!Q$2,FALSE),0),0)</f>
        <v>2</v>
      </c>
      <c r="J26" s="26">
        <f>IFERROR(_xlfn.IFNA(VLOOKUP($C26,Dulieutho,ChiTiet!R$2,FALSE),0),0)</f>
        <v>9</v>
      </c>
      <c r="K26" s="26">
        <f>IFERROR(_xlfn.IFNA(VLOOKUP($C26,Dulieutho,ChiTiet!S$2,FALSE)*$K$3,0),0)</f>
        <v>324</v>
      </c>
      <c r="L26" s="26">
        <f>IFERROR(_xlfn.IFNA(VLOOKUP($C26,Dulieutho,ChiTiet!U$2,FALSE),0),0)</f>
        <v>0</v>
      </c>
      <c r="M26" s="26">
        <f>IFERROR(_xlfn.IFNA(VLOOKUP($C26,Dulieutho,ChiTiet!T$2,FALSE),0),0)</f>
        <v>0</v>
      </c>
      <c r="N26" s="26">
        <f>IFERROR(_xlfn.IFNA(VLOOKUP($C26,Dulieutho,ChiTiet!V$2,FALSE)*1000,0),0)</f>
        <v>12000</v>
      </c>
      <c r="O26" s="26">
        <f>IFERROR(_xlfn.IFNA(VLOOKUP($C26,Dulieutho,ChiTiet!W$2,FALSE)*$O$3,0),0)</f>
        <v>4000</v>
      </c>
      <c r="P26" s="26">
        <f>IFERROR(_xlfn.IFNA(VLOOKUP($C26,Dulieutho,ChiTiet!X$2,FALSE)*$P$3,0),0)</f>
        <v>0</v>
      </c>
      <c r="Q26" s="26">
        <f>IFERROR(_xlfn.IFNA(VLOOKUP($C26,Dulieutho,ChiTiet!AG$2,FALSE),0),0)</f>
        <v>0</v>
      </c>
      <c r="R26" s="26">
        <f>IFERROR(_xlfn.IFNA(VLOOKUP($C26,Dulieutho,ChiTiet!AH$2,FALSE),0),0)</f>
        <v>1</v>
      </c>
      <c r="S26" s="26">
        <f>IFERROR(_xlfn.IFNA(VLOOKUP($C26,Dulieutho,ChiTiet!AI$2,FALSE)*$S$3,0),0)</f>
        <v>0</v>
      </c>
    </row>
    <row r="27" spans="2:19" ht="15.6">
      <c r="B27" s="10" t="s">
        <v>97</v>
      </c>
      <c r="C27" s="9" t="s">
        <v>138</v>
      </c>
      <c r="D27" s="11" t="s">
        <v>139</v>
      </c>
      <c r="E27" s="26">
        <f>IFERROR(_xlfn.IFNA(VLOOKUP($C27,Dulieutho,ChiTiet!M$2,FALSE),0)*$E$3,0)</f>
        <v>0</v>
      </c>
      <c r="F27" s="26">
        <f>IFERROR(_xlfn.IFNA(VLOOKUP($C27,Dulieutho,ChiTiet!N$2,FALSE),0)*$F$3,0)</f>
        <v>1000</v>
      </c>
      <c r="G27" s="26">
        <f>IFERROR(_xlfn.IFNA(VLOOKUP($C27,Dulieutho,ChiTiet!O$2,FALSE),0)*$G$3,0)</f>
        <v>128</v>
      </c>
      <c r="H27" s="26">
        <f>IFERROR(_xlfn.IFNA(VLOOKUP($C27,Dulieutho,ChiTiet!P$2,FALSE),0),0)</f>
        <v>0</v>
      </c>
      <c r="I27" s="26">
        <f>IFERROR(_xlfn.IFNA(VLOOKUP($C27,Dulieutho,ChiTiet!Q$2,FALSE),0),0)</f>
        <v>2</v>
      </c>
      <c r="J27" s="26">
        <f>IFERROR(_xlfn.IFNA(VLOOKUP($C27,Dulieutho,ChiTiet!R$2,FALSE),0),0)</f>
        <v>11</v>
      </c>
      <c r="K27" s="26">
        <f>IFERROR(_xlfn.IFNA(VLOOKUP($C27,Dulieutho,ChiTiet!S$2,FALSE)*$K$3,0),0)</f>
        <v>540</v>
      </c>
      <c r="L27" s="26">
        <f>IFERROR(_xlfn.IFNA(VLOOKUP($C27,Dulieutho,ChiTiet!U$2,FALSE),0),0)</f>
        <v>12</v>
      </c>
      <c r="M27" s="26">
        <f>IFERROR(_xlfn.IFNA(VLOOKUP($C27,Dulieutho,ChiTiet!T$2,FALSE),0),0)</f>
        <v>4</v>
      </c>
      <c r="N27" s="26">
        <f>IFERROR(_xlfn.IFNA(VLOOKUP($C27,Dulieutho,ChiTiet!V$2,FALSE)*1000,0),0)</f>
        <v>8000</v>
      </c>
      <c r="O27" s="26">
        <f>IFERROR(_xlfn.IFNA(VLOOKUP($C27,Dulieutho,ChiTiet!W$2,FALSE)*$O$3,0),0)</f>
        <v>10000</v>
      </c>
      <c r="P27" s="26">
        <f>IFERROR(_xlfn.IFNA(VLOOKUP($C27,Dulieutho,ChiTiet!X$2,FALSE)*$P$3,0),0)</f>
        <v>500</v>
      </c>
      <c r="Q27" s="26">
        <f>IFERROR(_xlfn.IFNA(VLOOKUP($C27,Dulieutho,ChiTiet!AG$2,FALSE),0),0)</f>
        <v>2000</v>
      </c>
      <c r="R27" s="26">
        <f>IFERROR(_xlfn.IFNA(VLOOKUP($C27,Dulieutho,ChiTiet!AH$2,FALSE),0),0)</f>
        <v>1</v>
      </c>
      <c r="S27" s="26">
        <f>IFERROR(_xlfn.IFNA(VLOOKUP($C27,Dulieutho,ChiTiet!AI$2,FALSE)*$S$3,0),0)</f>
        <v>2000</v>
      </c>
    </row>
    <row r="28" spans="2:19" ht="15.6">
      <c r="B28" s="10" t="s">
        <v>97</v>
      </c>
      <c r="C28" s="9" t="s">
        <v>140</v>
      </c>
      <c r="D28" s="11" t="s">
        <v>141</v>
      </c>
      <c r="E28" s="26">
        <f>IFERROR(_xlfn.IFNA(VLOOKUP($C28,Dulieutho,ChiTiet!M$2,FALSE),0)*$E$3,0)</f>
        <v>1500</v>
      </c>
      <c r="F28" s="26">
        <f>IFERROR(_xlfn.IFNA(VLOOKUP($C28,Dulieutho,ChiTiet!N$2,FALSE),0)*$F$3,0)</f>
        <v>0</v>
      </c>
      <c r="G28" s="26">
        <f>IFERROR(_xlfn.IFNA(VLOOKUP($C28,Dulieutho,ChiTiet!O$2,FALSE),0)*$G$3,0)</f>
        <v>64</v>
      </c>
      <c r="H28" s="26">
        <f>IFERROR(_xlfn.IFNA(VLOOKUP($C28,Dulieutho,ChiTiet!P$2,FALSE),0),0)</f>
        <v>25</v>
      </c>
      <c r="I28" s="26">
        <f>IFERROR(_xlfn.IFNA(VLOOKUP($C28,Dulieutho,ChiTiet!Q$2,FALSE),0),0)</f>
        <v>2</v>
      </c>
      <c r="J28" s="26">
        <f>IFERROR(_xlfn.IFNA(VLOOKUP($C28,Dulieutho,ChiTiet!R$2,FALSE),0),0)</f>
        <v>3</v>
      </c>
      <c r="K28" s="26">
        <f>IFERROR(_xlfn.IFNA(VLOOKUP($C28,Dulieutho,ChiTiet!S$2,FALSE)*$K$3,0),0)</f>
        <v>108</v>
      </c>
      <c r="L28" s="26">
        <f>IFERROR(_xlfn.IFNA(VLOOKUP($C28,Dulieutho,ChiTiet!U$2,FALSE),0),0)</f>
        <v>0</v>
      </c>
      <c r="M28" s="26">
        <f>IFERROR(_xlfn.IFNA(VLOOKUP($C28,Dulieutho,ChiTiet!T$2,FALSE),0),0)</f>
        <v>1</v>
      </c>
      <c r="N28" s="26">
        <f>IFERROR(_xlfn.IFNA(VLOOKUP($C28,Dulieutho,ChiTiet!V$2,FALSE)*1000,0),0)</f>
        <v>12000</v>
      </c>
      <c r="O28" s="26">
        <f>IFERROR(_xlfn.IFNA(VLOOKUP($C28,Dulieutho,ChiTiet!W$2,FALSE)*$O$3,0),0)</f>
        <v>10000</v>
      </c>
      <c r="P28" s="26">
        <f>IFERROR(_xlfn.IFNA(VLOOKUP($C28,Dulieutho,ChiTiet!X$2,FALSE)*$P$3,0),0)</f>
        <v>2000</v>
      </c>
      <c r="Q28" s="26">
        <f>IFERROR(_xlfn.IFNA(VLOOKUP($C28,Dulieutho,ChiTiet!AG$2,FALSE),0),0)</f>
        <v>2000</v>
      </c>
      <c r="R28" s="26">
        <f>IFERROR(_xlfn.IFNA(VLOOKUP($C28,Dulieutho,ChiTiet!AH$2,FALSE),0),0)</f>
        <v>0</v>
      </c>
      <c r="S28" s="26">
        <f>IFERROR(_xlfn.IFNA(VLOOKUP($C28,Dulieutho,ChiTiet!AI$2,FALSE)*$S$3,0),0)</f>
        <v>2000</v>
      </c>
    </row>
    <row r="29" spans="2:19" ht="15.6">
      <c r="B29" s="10" t="s">
        <v>97</v>
      </c>
      <c r="C29" s="9" t="s">
        <v>142</v>
      </c>
      <c r="D29" s="11" t="s">
        <v>143</v>
      </c>
      <c r="E29" s="26">
        <f>IFERROR(_xlfn.IFNA(VLOOKUP($C29,Dulieutho,ChiTiet!M$2,FALSE),0)*$E$3,0)</f>
        <v>1500</v>
      </c>
      <c r="F29" s="26">
        <f>IFERROR(_xlfn.IFNA(VLOOKUP($C29,Dulieutho,ChiTiet!N$2,FALSE),0)*$F$3,0)</f>
        <v>1000</v>
      </c>
      <c r="G29" s="26">
        <f>IFERROR(_xlfn.IFNA(VLOOKUP($C29,Dulieutho,ChiTiet!O$2,FALSE),0)*$G$3,0)</f>
        <v>64</v>
      </c>
      <c r="H29" s="26">
        <f>IFERROR(_xlfn.IFNA(VLOOKUP($C29,Dulieutho,ChiTiet!P$2,FALSE),0),0)</f>
        <v>25</v>
      </c>
      <c r="I29" s="26">
        <f>IFERROR(_xlfn.IFNA(VLOOKUP($C29,Dulieutho,ChiTiet!Q$2,FALSE),0),0)</f>
        <v>1</v>
      </c>
      <c r="J29" s="26">
        <f>IFERROR(_xlfn.IFNA(VLOOKUP($C29,Dulieutho,ChiTiet!R$2,FALSE),0),0)</f>
        <v>6</v>
      </c>
      <c r="K29" s="26">
        <f>IFERROR(_xlfn.IFNA(VLOOKUP($C29,Dulieutho,ChiTiet!S$2,FALSE)*$K$3,0),0)</f>
        <v>432</v>
      </c>
      <c r="L29" s="26">
        <f>IFERROR(_xlfn.IFNA(VLOOKUP($C29,Dulieutho,ChiTiet!U$2,FALSE),0),0)</f>
        <v>12</v>
      </c>
      <c r="M29" s="26">
        <f>IFERROR(_xlfn.IFNA(VLOOKUP($C29,Dulieutho,ChiTiet!T$2,FALSE),0),0)</f>
        <v>1</v>
      </c>
      <c r="N29" s="26">
        <f>IFERROR(_xlfn.IFNA(VLOOKUP($C29,Dulieutho,ChiTiet!V$2,FALSE)*1000,0),0)</f>
        <v>8000</v>
      </c>
      <c r="O29" s="26">
        <f>IFERROR(_xlfn.IFNA(VLOOKUP($C29,Dulieutho,ChiTiet!W$2,FALSE)*$O$3,0),0)</f>
        <v>4000</v>
      </c>
      <c r="P29" s="26">
        <f>IFERROR(_xlfn.IFNA(VLOOKUP($C29,Dulieutho,ChiTiet!X$2,FALSE)*$P$3,0),0)</f>
        <v>0</v>
      </c>
      <c r="Q29" s="26">
        <f>IFERROR(_xlfn.IFNA(VLOOKUP($C29,Dulieutho,ChiTiet!AG$2,FALSE),0),0)</f>
        <v>1000</v>
      </c>
      <c r="R29" s="26">
        <f>IFERROR(_xlfn.IFNA(VLOOKUP($C29,Dulieutho,ChiTiet!AH$2,FALSE),0),0)</f>
        <v>0</v>
      </c>
      <c r="S29" s="26">
        <f>IFERROR(_xlfn.IFNA(VLOOKUP($C29,Dulieutho,ChiTiet!AI$2,FALSE)*$S$3,0),0)</f>
        <v>1000</v>
      </c>
    </row>
    <row r="30" spans="2:19" ht="15.6">
      <c r="B30" s="10" t="s">
        <v>97</v>
      </c>
      <c r="C30" s="9" t="s">
        <v>144</v>
      </c>
      <c r="D30" s="11" t="s">
        <v>145</v>
      </c>
      <c r="E30" s="26">
        <f>IFERROR(_xlfn.IFNA(VLOOKUP($C30,Dulieutho,ChiTiet!M$2,FALSE),0)*$E$3,0)</f>
        <v>500</v>
      </c>
      <c r="F30" s="26">
        <f>IFERROR(_xlfn.IFNA(VLOOKUP($C30,Dulieutho,ChiTiet!N$2,FALSE),0)*$F$3,0)</f>
        <v>1000</v>
      </c>
      <c r="G30" s="26">
        <f>IFERROR(_xlfn.IFNA(VLOOKUP($C30,Dulieutho,ChiTiet!O$2,FALSE),0)*$G$3,0)</f>
        <v>32</v>
      </c>
      <c r="H30" s="26">
        <f>IFERROR(_xlfn.IFNA(VLOOKUP($C30,Dulieutho,ChiTiet!P$2,FALSE),0),0)</f>
        <v>25</v>
      </c>
      <c r="I30" s="26">
        <f>IFERROR(_xlfn.IFNA(VLOOKUP($C30,Dulieutho,ChiTiet!Q$2,FALSE),0),0)</f>
        <v>1</v>
      </c>
      <c r="J30" s="26">
        <f>IFERROR(_xlfn.IFNA(VLOOKUP($C30,Dulieutho,ChiTiet!R$2,FALSE),0),0)</f>
        <v>4</v>
      </c>
      <c r="K30" s="26">
        <f>IFERROR(_xlfn.IFNA(VLOOKUP($C30,Dulieutho,ChiTiet!S$2,FALSE)*$K$3,0),0)</f>
        <v>540</v>
      </c>
      <c r="L30" s="26">
        <f>IFERROR(_xlfn.IFNA(VLOOKUP($C30,Dulieutho,ChiTiet!U$2,FALSE),0),0)</f>
        <v>24</v>
      </c>
      <c r="M30" s="26">
        <f>IFERROR(_xlfn.IFNA(VLOOKUP($C30,Dulieutho,ChiTiet!T$2,FALSE),0),0)</f>
        <v>3</v>
      </c>
      <c r="N30" s="26">
        <f>IFERROR(_xlfn.IFNA(VLOOKUP($C30,Dulieutho,ChiTiet!V$2,FALSE)*1000,0),0)</f>
        <v>8000</v>
      </c>
      <c r="O30" s="26">
        <f>IFERROR(_xlfn.IFNA(VLOOKUP($C30,Dulieutho,ChiTiet!W$2,FALSE)*$O$3,0),0)</f>
        <v>6000</v>
      </c>
      <c r="P30" s="26">
        <f>IFERROR(_xlfn.IFNA(VLOOKUP($C30,Dulieutho,ChiTiet!X$2,FALSE)*$P$3,0),0)</f>
        <v>500</v>
      </c>
      <c r="Q30" s="26">
        <f>IFERROR(_xlfn.IFNA(VLOOKUP($C30,Dulieutho,ChiTiet!AG$2,FALSE),0),0)</f>
        <v>1000</v>
      </c>
      <c r="R30" s="26">
        <f>IFERROR(_xlfn.IFNA(VLOOKUP($C30,Dulieutho,ChiTiet!AH$2,FALSE),0),0)</f>
        <v>1</v>
      </c>
      <c r="S30" s="26">
        <f>IFERROR(_xlfn.IFNA(VLOOKUP($C30,Dulieutho,ChiTiet!AI$2,FALSE)*$S$3,0),0)</f>
        <v>1000</v>
      </c>
    </row>
    <row r="31" spans="2:19" ht="15.6">
      <c r="B31" s="10" t="s">
        <v>97</v>
      </c>
      <c r="C31" s="9" t="s">
        <v>146</v>
      </c>
      <c r="D31" s="11" t="s">
        <v>147</v>
      </c>
      <c r="E31" s="26">
        <f>IFERROR(_xlfn.IFNA(VLOOKUP($C31,Dulieutho,ChiTiet!M$2,FALSE),0)*$E$3,0)</f>
        <v>0</v>
      </c>
      <c r="F31" s="26">
        <f>IFERROR(_xlfn.IFNA(VLOOKUP($C31,Dulieutho,ChiTiet!N$2,FALSE),0)*$F$3,0)</f>
        <v>0</v>
      </c>
      <c r="G31" s="26">
        <f>IFERROR(_xlfn.IFNA(VLOOKUP($C31,Dulieutho,ChiTiet!O$2,FALSE),0)*$G$3,0)</f>
        <v>0</v>
      </c>
      <c r="H31" s="26">
        <f>IFERROR(_xlfn.IFNA(VLOOKUP($C31,Dulieutho,ChiTiet!P$2,FALSE),0),0)</f>
        <v>0</v>
      </c>
      <c r="I31" s="26">
        <f>IFERROR(_xlfn.IFNA(VLOOKUP($C31,Dulieutho,ChiTiet!Q$2,FALSE),0),0)</f>
        <v>1</v>
      </c>
      <c r="J31" s="26">
        <f>IFERROR(_xlfn.IFNA(VLOOKUP($C31,Dulieutho,ChiTiet!R$2,FALSE),0),0)</f>
        <v>5.5</v>
      </c>
      <c r="K31" s="26">
        <f>IFERROR(_xlfn.IFNA(VLOOKUP($C31,Dulieutho,ChiTiet!S$2,FALSE)*$K$3,0),0)</f>
        <v>324</v>
      </c>
      <c r="L31" s="26">
        <f>IFERROR(_xlfn.IFNA(VLOOKUP($C31,Dulieutho,ChiTiet!U$2,FALSE),0),0)</f>
        <v>0</v>
      </c>
      <c r="M31" s="26">
        <f>IFERROR(_xlfn.IFNA(VLOOKUP($C31,Dulieutho,ChiTiet!T$2,FALSE),0),0)</f>
        <v>1</v>
      </c>
      <c r="N31" s="26">
        <f>IFERROR(_xlfn.IFNA(VLOOKUP($C31,Dulieutho,ChiTiet!V$2,FALSE)*1000,0),0)</f>
        <v>6000</v>
      </c>
      <c r="O31" s="26">
        <f>IFERROR(_xlfn.IFNA(VLOOKUP($C31,Dulieutho,ChiTiet!W$2,FALSE)*$O$3,0),0)</f>
        <v>4000</v>
      </c>
      <c r="P31" s="26">
        <f>IFERROR(_xlfn.IFNA(VLOOKUP($C31,Dulieutho,ChiTiet!X$2,FALSE)*$P$3,0),0)</f>
        <v>0</v>
      </c>
      <c r="Q31" s="26">
        <f>IFERROR(_xlfn.IFNA(VLOOKUP($C31,Dulieutho,ChiTiet!AG$2,FALSE),0),0)</f>
        <v>1000</v>
      </c>
      <c r="R31" s="26">
        <f>IFERROR(_xlfn.IFNA(VLOOKUP($C31,Dulieutho,ChiTiet!AH$2,FALSE),0),0)</f>
        <v>0</v>
      </c>
      <c r="S31" s="26">
        <f>IFERROR(_xlfn.IFNA(VLOOKUP($C31,Dulieutho,ChiTiet!AI$2,FALSE)*$S$3,0),0)</f>
        <v>1000</v>
      </c>
    </row>
    <row r="32" spans="2:19" ht="15.6">
      <c r="B32" s="10" t="s">
        <v>97</v>
      </c>
      <c r="C32" s="9" t="s">
        <v>148</v>
      </c>
      <c r="D32" s="11" t="s">
        <v>149</v>
      </c>
      <c r="E32" s="26">
        <f>IFERROR(_xlfn.IFNA(VLOOKUP($C32,Dulieutho,ChiTiet!M$2,FALSE),0)*$E$3,0)</f>
        <v>0</v>
      </c>
      <c r="F32" s="26">
        <f>IFERROR(_xlfn.IFNA(VLOOKUP($C32,Dulieutho,ChiTiet!N$2,FALSE),0)*$F$3,0)</f>
        <v>1000</v>
      </c>
      <c r="G32" s="26">
        <f>IFERROR(_xlfn.IFNA(VLOOKUP($C32,Dulieutho,ChiTiet!O$2,FALSE),0)*$G$3,0)</f>
        <v>64</v>
      </c>
      <c r="H32" s="26">
        <f>IFERROR(_xlfn.IFNA(VLOOKUP($C32,Dulieutho,ChiTiet!P$2,FALSE),0),0)</f>
        <v>0</v>
      </c>
      <c r="I32" s="26">
        <f>IFERROR(_xlfn.IFNA(VLOOKUP($C32,Dulieutho,ChiTiet!Q$2,FALSE),0),0)</f>
        <v>0</v>
      </c>
      <c r="J32" s="26">
        <f>IFERROR(_xlfn.IFNA(VLOOKUP($C32,Dulieutho,ChiTiet!R$2,FALSE),0),0)</f>
        <v>0</v>
      </c>
      <c r="K32" s="26">
        <f>IFERROR(_xlfn.IFNA(VLOOKUP($C32,Dulieutho,ChiTiet!S$2,FALSE)*$K$3,0),0)</f>
        <v>648</v>
      </c>
      <c r="L32" s="26">
        <f>IFERROR(_xlfn.IFNA(VLOOKUP($C32,Dulieutho,ChiTiet!U$2,FALSE),0),0)</f>
        <v>0</v>
      </c>
      <c r="M32" s="26">
        <f>IFERROR(_xlfn.IFNA(VLOOKUP($C32,Dulieutho,ChiTiet!T$2,FALSE),0),0)</f>
        <v>0</v>
      </c>
      <c r="N32" s="26">
        <f>IFERROR(_xlfn.IFNA(VLOOKUP($C32,Dulieutho,ChiTiet!V$2,FALSE)*1000,0),0)</f>
        <v>10000</v>
      </c>
      <c r="O32" s="26">
        <f>IFERROR(_xlfn.IFNA(VLOOKUP($C32,Dulieutho,ChiTiet!W$2,FALSE)*$O$3,0),0)</f>
        <v>4000</v>
      </c>
      <c r="P32" s="26">
        <f>IFERROR(_xlfn.IFNA(VLOOKUP($C32,Dulieutho,ChiTiet!X$2,FALSE)*$P$3,0),0)</f>
        <v>1000</v>
      </c>
      <c r="Q32" s="26">
        <f>IFERROR(_xlfn.IFNA(VLOOKUP($C32,Dulieutho,ChiTiet!AG$2,FALSE),0),0)</f>
        <v>3000</v>
      </c>
      <c r="R32" s="26">
        <f>IFERROR(_xlfn.IFNA(VLOOKUP($C32,Dulieutho,ChiTiet!AH$2,FALSE),0),0)</f>
        <v>1</v>
      </c>
      <c r="S32" s="26">
        <f>IFERROR(_xlfn.IFNA(VLOOKUP($C32,Dulieutho,ChiTiet!AI$2,FALSE)*$S$3,0),0)</f>
        <v>3000</v>
      </c>
    </row>
    <row r="33" spans="2:19" ht="15.6">
      <c r="B33" s="10" t="s">
        <v>97</v>
      </c>
      <c r="C33" s="9" t="s">
        <v>150</v>
      </c>
      <c r="D33" s="11" t="s">
        <v>151</v>
      </c>
      <c r="E33" s="26">
        <f>IFERROR(_xlfn.IFNA(VLOOKUP($C33,Dulieutho,ChiTiet!M$2,FALSE),0)*$E$3,0)</f>
        <v>1500</v>
      </c>
      <c r="F33" s="26">
        <f>IFERROR(_xlfn.IFNA(VLOOKUP($C33,Dulieutho,ChiTiet!N$2,FALSE),0)*$F$3,0)</f>
        <v>0</v>
      </c>
      <c r="G33" s="26">
        <f>IFERROR(_xlfn.IFNA(VLOOKUP($C33,Dulieutho,ChiTiet!O$2,FALSE),0)*$G$3,0)</f>
        <v>96</v>
      </c>
      <c r="H33" s="26">
        <f>IFERROR(_xlfn.IFNA(VLOOKUP($C33,Dulieutho,ChiTiet!P$2,FALSE),0),0)</f>
        <v>0</v>
      </c>
      <c r="I33" s="26">
        <f>IFERROR(_xlfn.IFNA(VLOOKUP($C33,Dulieutho,ChiTiet!Q$2,FALSE),0),0)</f>
        <v>0</v>
      </c>
      <c r="J33" s="26">
        <f>IFERROR(_xlfn.IFNA(VLOOKUP($C33,Dulieutho,ChiTiet!R$2,FALSE),0),0)</f>
        <v>0</v>
      </c>
      <c r="K33" s="26">
        <f>IFERROR(_xlfn.IFNA(VLOOKUP($C33,Dulieutho,ChiTiet!S$2,FALSE)*$K$3,0),0)</f>
        <v>432</v>
      </c>
      <c r="L33" s="26">
        <f>IFERROR(_xlfn.IFNA(VLOOKUP($C33,Dulieutho,ChiTiet!U$2,FALSE),0),0)</f>
        <v>0</v>
      </c>
      <c r="M33" s="26">
        <f>IFERROR(_xlfn.IFNA(VLOOKUP($C33,Dulieutho,ChiTiet!T$2,FALSE),0),0)</f>
        <v>0</v>
      </c>
      <c r="N33" s="26">
        <f>IFERROR(_xlfn.IFNA(VLOOKUP($C33,Dulieutho,ChiTiet!V$2,FALSE)*1000,0),0)</f>
        <v>14000</v>
      </c>
      <c r="O33" s="26">
        <f>IFERROR(_xlfn.IFNA(VLOOKUP($C33,Dulieutho,ChiTiet!W$2,FALSE)*$O$3,0),0)</f>
        <v>2000</v>
      </c>
      <c r="P33" s="26">
        <f>IFERROR(_xlfn.IFNA(VLOOKUP($C33,Dulieutho,ChiTiet!X$2,FALSE)*$P$3,0),0)</f>
        <v>1000</v>
      </c>
      <c r="Q33" s="26">
        <f>IFERROR(_xlfn.IFNA(VLOOKUP($C33,Dulieutho,ChiTiet!AG$2,FALSE),0),0)</f>
        <v>3000</v>
      </c>
      <c r="R33" s="26">
        <f>IFERROR(_xlfn.IFNA(VLOOKUP($C33,Dulieutho,ChiTiet!AH$2,FALSE),0),0)</f>
        <v>1</v>
      </c>
      <c r="S33" s="26">
        <f>IFERROR(_xlfn.IFNA(VLOOKUP($C33,Dulieutho,ChiTiet!AI$2,FALSE)*$S$3,0),0)</f>
        <v>3000</v>
      </c>
    </row>
    <row r="34" spans="2:19" ht="15.6">
      <c r="B34" s="10" t="s">
        <v>97</v>
      </c>
      <c r="C34" s="9" t="s">
        <v>152</v>
      </c>
      <c r="D34" s="11" t="s">
        <v>153</v>
      </c>
      <c r="E34" s="26">
        <f>IFERROR(_xlfn.IFNA(VLOOKUP($C34,Dulieutho,ChiTiet!M$2,FALSE),0)*$E$3,0)</f>
        <v>0</v>
      </c>
      <c r="F34" s="26">
        <f>IFERROR(_xlfn.IFNA(VLOOKUP($C34,Dulieutho,ChiTiet!N$2,FALSE),0)*$F$3,0)</f>
        <v>0</v>
      </c>
      <c r="G34" s="26">
        <f>IFERROR(_xlfn.IFNA(VLOOKUP($C34,Dulieutho,ChiTiet!O$2,FALSE),0)*$G$3,0)</f>
        <v>0</v>
      </c>
      <c r="H34" s="26">
        <f>IFERROR(_xlfn.IFNA(VLOOKUP($C34,Dulieutho,ChiTiet!P$2,FALSE),0),0)</f>
        <v>25</v>
      </c>
      <c r="I34" s="26">
        <f>IFERROR(_xlfn.IFNA(VLOOKUP($C34,Dulieutho,ChiTiet!Q$2,FALSE),0),0)</f>
        <v>1</v>
      </c>
      <c r="J34" s="26">
        <f>IFERROR(_xlfn.IFNA(VLOOKUP($C34,Dulieutho,ChiTiet!R$2,FALSE),0),0)</f>
        <v>0</v>
      </c>
      <c r="K34" s="26">
        <f>IFERROR(_xlfn.IFNA(VLOOKUP($C34,Dulieutho,ChiTiet!S$2,FALSE)*$K$3,0),0)</f>
        <v>756</v>
      </c>
      <c r="L34" s="26">
        <f>IFERROR(_xlfn.IFNA(VLOOKUP($C34,Dulieutho,ChiTiet!U$2,FALSE),0),0)</f>
        <v>12</v>
      </c>
      <c r="M34" s="26">
        <f>IFERROR(_xlfn.IFNA(VLOOKUP($C34,Dulieutho,ChiTiet!T$2,FALSE),0),0)</f>
        <v>0</v>
      </c>
      <c r="N34" s="26">
        <f>IFERROR(_xlfn.IFNA(VLOOKUP($C34,Dulieutho,ChiTiet!V$2,FALSE)*1000,0),0)</f>
        <v>8000</v>
      </c>
      <c r="O34" s="26">
        <f>IFERROR(_xlfn.IFNA(VLOOKUP($C34,Dulieutho,ChiTiet!W$2,FALSE)*$O$3,0),0)</f>
        <v>3000</v>
      </c>
      <c r="P34" s="26">
        <f>IFERROR(_xlfn.IFNA(VLOOKUP($C34,Dulieutho,ChiTiet!X$2,FALSE)*$P$3,0),0)</f>
        <v>0</v>
      </c>
      <c r="Q34" s="26">
        <f>IFERROR(_xlfn.IFNA(VLOOKUP($C34,Dulieutho,ChiTiet!AG$2,FALSE),0),0)</f>
        <v>1000</v>
      </c>
      <c r="R34" s="26">
        <f>IFERROR(_xlfn.IFNA(VLOOKUP($C34,Dulieutho,ChiTiet!AH$2,FALSE),0),0)</f>
        <v>0</v>
      </c>
      <c r="S34" s="26">
        <f>IFERROR(_xlfn.IFNA(VLOOKUP($C34,Dulieutho,ChiTiet!AI$2,FALSE)*$S$3,0),0)</f>
        <v>1000</v>
      </c>
    </row>
    <row r="35" spans="2:19" ht="15.6">
      <c r="B35" s="10" t="s">
        <v>97</v>
      </c>
      <c r="C35" s="9" t="s">
        <v>154</v>
      </c>
      <c r="D35" s="11" t="s">
        <v>155</v>
      </c>
      <c r="E35" s="26">
        <f>IFERROR(_xlfn.IFNA(VLOOKUP($C35,Dulieutho,ChiTiet!M$2,FALSE),0)*$E$3,0)</f>
        <v>1000</v>
      </c>
      <c r="F35" s="26">
        <f>IFERROR(_xlfn.IFNA(VLOOKUP($C35,Dulieutho,ChiTiet!N$2,FALSE),0)*$F$3,0)</f>
        <v>1000</v>
      </c>
      <c r="G35" s="26">
        <f>IFERROR(_xlfn.IFNA(VLOOKUP($C35,Dulieutho,ChiTiet!O$2,FALSE),0)*$G$3,0)</f>
        <v>128</v>
      </c>
      <c r="H35" s="26">
        <f>IFERROR(_xlfn.IFNA(VLOOKUP($C35,Dulieutho,ChiTiet!P$2,FALSE),0),0)</f>
        <v>25</v>
      </c>
      <c r="I35" s="26">
        <f>IFERROR(_xlfn.IFNA(VLOOKUP($C35,Dulieutho,ChiTiet!Q$2,FALSE),0),0)</f>
        <v>4</v>
      </c>
      <c r="J35" s="26">
        <f>IFERROR(_xlfn.IFNA(VLOOKUP($C35,Dulieutho,ChiTiet!R$2,FALSE),0),0)</f>
        <v>15</v>
      </c>
      <c r="K35" s="26">
        <f>IFERROR(_xlfn.IFNA(VLOOKUP($C35,Dulieutho,ChiTiet!S$2,FALSE)*$K$3,0),0)</f>
        <v>648</v>
      </c>
      <c r="L35" s="26">
        <f>IFERROR(_xlfn.IFNA(VLOOKUP($C35,Dulieutho,ChiTiet!U$2,FALSE),0),0)</f>
        <v>24</v>
      </c>
      <c r="M35" s="26">
        <f>IFERROR(_xlfn.IFNA(VLOOKUP($C35,Dulieutho,ChiTiet!T$2,FALSE),0),0)</f>
        <v>4</v>
      </c>
      <c r="N35" s="26">
        <f>IFERROR(_xlfn.IFNA(VLOOKUP($C35,Dulieutho,ChiTiet!V$2,FALSE)*1000,0),0)</f>
        <v>18000</v>
      </c>
      <c r="O35" s="26">
        <f>IFERROR(_xlfn.IFNA(VLOOKUP($C35,Dulieutho,ChiTiet!W$2,FALSE)*$O$3,0),0)</f>
        <v>13000</v>
      </c>
      <c r="P35" s="26">
        <f>IFERROR(_xlfn.IFNA(VLOOKUP($C35,Dulieutho,ChiTiet!X$2,FALSE)*$P$3,0),0)</f>
        <v>0</v>
      </c>
      <c r="Q35" s="26">
        <f>IFERROR(_xlfn.IFNA(VLOOKUP($C35,Dulieutho,ChiTiet!AG$2,FALSE),0),0)</f>
        <v>2000</v>
      </c>
      <c r="R35" s="26">
        <f>IFERROR(_xlfn.IFNA(VLOOKUP($C35,Dulieutho,ChiTiet!AH$2,FALSE),0),0)</f>
        <v>1</v>
      </c>
      <c r="S35" s="26">
        <f>IFERROR(_xlfn.IFNA(VLOOKUP($C35,Dulieutho,ChiTiet!AI$2,FALSE)*$S$3,0),0)</f>
        <v>2000</v>
      </c>
    </row>
    <row r="36" spans="2:19" ht="15.6">
      <c r="B36" s="10" t="s">
        <v>97</v>
      </c>
      <c r="C36" s="9" t="s">
        <v>156</v>
      </c>
      <c r="D36" s="11" t="s">
        <v>157</v>
      </c>
      <c r="E36" s="26">
        <f>IFERROR(_xlfn.IFNA(VLOOKUP($C36,Dulieutho,ChiTiet!M$2,FALSE),0)*$E$3,0)</f>
        <v>0</v>
      </c>
      <c r="F36" s="26">
        <f>IFERROR(_xlfn.IFNA(VLOOKUP($C36,Dulieutho,ChiTiet!N$2,FALSE),0)*$F$3,0)</f>
        <v>0</v>
      </c>
      <c r="G36" s="26">
        <f>IFERROR(_xlfn.IFNA(VLOOKUP($C36,Dulieutho,ChiTiet!O$2,FALSE),0)*$G$3,0)</f>
        <v>0</v>
      </c>
      <c r="H36" s="26">
        <f>IFERROR(_xlfn.IFNA(VLOOKUP($C36,Dulieutho,ChiTiet!P$2,FALSE),0),0)</f>
        <v>0</v>
      </c>
      <c r="I36" s="26">
        <f>IFERROR(_xlfn.IFNA(VLOOKUP($C36,Dulieutho,ChiTiet!Q$2,FALSE),0),0)</f>
        <v>0</v>
      </c>
      <c r="J36" s="26">
        <f>IFERROR(_xlfn.IFNA(VLOOKUP($C36,Dulieutho,ChiTiet!R$2,FALSE),0),0)</f>
        <v>2</v>
      </c>
      <c r="K36" s="26">
        <f>IFERROR(_xlfn.IFNA(VLOOKUP($C36,Dulieutho,ChiTiet!S$2,FALSE)*$K$3,0),0)</f>
        <v>108</v>
      </c>
      <c r="L36" s="26">
        <f>IFERROR(_xlfn.IFNA(VLOOKUP($C36,Dulieutho,ChiTiet!U$2,FALSE),0),0)</f>
        <v>0</v>
      </c>
      <c r="M36" s="26">
        <f>IFERROR(_xlfn.IFNA(VLOOKUP($C36,Dulieutho,ChiTiet!T$2,FALSE),0),0)</f>
        <v>1</v>
      </c>
      <c r="N36" s="26">
        <f>IFERROR(_xlfn.IFNA(VLOOKUP($C36,Dulieutho,ChiTiet!V$2,FALSE)*1000,0),0)</f>
        <v>2000</v>
      </c>
      <c r="O36" s="26">
        <f>IFERROR(_xlfn.IFNA(VLOOKUP($C36,Dulieutho,ChiTiet!W$2,FALSE)*$O$3,0),0)</f>
        <v>0</v>
      </c>
      <c r="P36" s="26">
        <f>IFERROR(_xlfn.IFNA(VLOOKUP($C36,Dulieutho,ChiTiet!X$2,FALSE)*$P$3,0),0)</f>
        <v>0</v>
      </c>
      <c r="Q36" s="26">
        <f>IFERROR(_xlfn.IFNA(VLOOKUP($C36,Dulieutho,ChiTiet!AG$2,FALSE),0),0)</f>
        <v>0</v>
      </c>
      <c r="R36" s="26">
        <f>IFERROR(_xlfn.IFNA(VLOOKUP($C36,Dulieutho,ChiTiet!AH$2,FALSE),0),0)</f>
        <v>0</v>
      </c>
      <c r="S36" s="26">
        <f>IFERROR(_xlfn.IFNA(VLOOKUP($C36,Dulieutho,ChiTiet!AI$2,FALSE)*$S$3,0),0)</f>
        <v>0</v>
      </c>
    </row>
    <row r="37" spans="2:19" ht="15.6">
      <c r="B37" s="10" t="s">
        <v>93</v>
      </c>
      <c r="C37" s="9" t="s">
        <v>158</v>
      </c>
      <c r="D37" s="11" t="s">
        <v>159</v>
      </c>
      <c r="E37" s="26">
        <f>IFERROR(_xlfn.IFNA(VLOOKUP($C37,Dulieutho,ChiTiet!M$2,FALSE),0)*$E$3,0)</f>
        <v>2500</v>
      </c>
      <c r="F37" s="26">
        <f>IFERROR(_xlfn.IFNA(VLOOKUP($C37,Dulieutho,ChiTiet!N$2,FALSE),0)*$F$3,0)</f>
        <v>2000</v>
      </c>
      <c r="G37" s="26">
        <f>IFERROR(_xlfn.IFNA(VLOOKUP($C37,Dulieutho,ChiTiet!O$2,FALSE),0)*$G$3,0)</f>
        <v>192</v>
      </c>
      <c r="H37" s="26">
        <f>IFERROR(_xlfn.IFNA(VLOOKUP($C37,Dulieutho,ChiTiet!P$2,FALSE),0),0)</f>
        <v>25</v>
      </c>
      <c r="I37" s="26">
        <f>IFERROR(_xlfn.IFNA(VLOOKUP($C37,Dulieutho,ChiTiet!Q$2,FALSE),0),0)</f>
        <v>5</v>
      </c>
      <c r="J37" s="26">
        <f>IFERROR(_xlfn.IFNA(VLOOKUP($C37,Dulieutho,ChiTiet!R$2,FALSE),0),0)</f>
        <v>2</v>
      </c>
      <c r="K37" s="26">
        <f>IFERROR(_xlfn.IFNA(VLOOKUP($C37,Dulieutho,ChiTiet!S$2,FALSE)*$K$3,0),0)</f>
        <v>540</v>
      </c>
      <c r="L37" s="26">
        <f>IFERROR(_xlfn.IFNA(VLOOKUP($C37,Dulieutho,ChiTiet!U$2,FALSE),0),0)</f>
        <v>48</v>
      </c>
      <c r="M37" s="26">
        <f>IFERROR(_xlfn.IFNA(VLOOKUP($C37,Dulieutho,ChiTiet!T$2,FALSE),0),0)</f>
        <v>3</v>
      </c>
      <c r="N37" s="26">
        <f>IFERROR(_xlfn.IFNA(VLOOKUP($C37,Dulieutho,ChiTiet!V$2,FALSE)*1000,0),0)</f>
        <v>18000</v>
      </c>
      <c r="O37" s="26">
        <f>IFERROR(_xlfn.IFNA(VLOOKUP($C37,Dulieutho,ChiTiet!W$2,FALSE)*$O$3,0),0)</f>
        <v>6000</v>
      </c>
      <c r="P37" s="26">
        <f>IFERROR(_xlfn.IFNA(VLOOKUP($C37,Dulieutho,ChiTiet!X$2,FALSE)*$P$3,0),0)</f>
        <v>1000</v>
      </c>
      <c r="Q37" s="26">
        <f>IFERROR(_xlfn.IFNA(VLOOKUP($C37,Dulieutho,ChiTiet!AG$2,FALSE),0),0)</f>
        <v>3000</v>
      </c>
      <c r="R37" s="26">
        <f>IFERROR(_xlfn.IFNA(VLOOKUP($C37,Dulieutho,ChiTiet!AH$2,FALSE),0),0)</f>
        <v>1</v>
      </c>
      <c r="S37" s="26">
        <f>IFERROR(_xlfn.IFNA(VLOOKUP($C37,Dulieutho,ChiTiet!AI$2,FALSE)*$S$3,0),0)</f>
        <v>3000</v>
      </c>
    </row>
    <row r="38" spans="2:19" ht="15.6">
      <c r="B38" s="10" t="s">
        <v>93</v>
      </c>
      <c r="C38" s="9" t="s">
        <v>160</v>
      </c>
      <c r="D38" s="11" t="s">
        <v>161</v>
      </c>
      <c r="E38" s="26">
        <f>IFERROR(_xlfn.IFNA(VLOOKUP($C38,Dulieutho,ChiTiet!M$2,FALSE),0)*$E$3,0)</f>
        <v>500</v>
      </c>
      <c r="F38" s="26">
        <f>IFERROR(_xlfn.IFNA(VLOOKUP($C38,Dulieutho,ChiTiet!N$2,FALSE),0)*$F$3,0)</f>
        <v>1000</v>
      </c>
      <c r="G38" s="26">
        <f>IFERROR(_xlfn.IFNA(VLOOKUP($C38,Dulieutho,ChiTiet!O$2,FALSE),0)*$G$3,0)</f>
        <v>96</v>
      </c>
      <c r="H38" s="26">
        <f>IFERROR(_xlfn.IFNA(VLOOKUP($C38,Dulieutho,ChiTiet!P$2,FALSE),0),0)</f>
        <v>25</v>
      </c>
      <c r="I38" s="26">
        <f>IFERROR(_xlfn.IFNA(VLOOKUP($C38,Dulieutho,ChiTiet!Q$2,FALSE),0),0)</f>
        <v>3</v>
      </c>
      <c r="J38" s="26">
        <f>IFERROR(_xlfn.IFNA(VLOOKUP($C38,Dulieutho,ChiTiet!R$2,FALSE),0),0)</f>
        <v>16</v>
      </c>
      <c r="K38" s="26">
        <f>IFERROR(_xlfn.IFNA(VLOOKUP($C38,Dulieutho,ChiTiet!S$2,FALSE)*$K$3,0),0)</f>
        <v>972</v>
      </c>
      <c r="L38" s="26">
        <f>IFERROR(_xlfn.IFNA(VLOOKUP($C38,Dulieutho,ChiTiet!U$2,FALSE),0),0)</f>
        <v>24</v>
      </c>
      <c r="M38" s="26">
        <f>IFERROR(_xlfn.IFNA(VLOOKUP($C38,Dulieutho,ChiTiet!T$2,FALSE),0),0)</f>
        <v>0</v>
      </c>
      <c r="N38" s="26">
        <f>IFERROR(_xlfn.IFNA(VLOOKUP($C38,Dulieutho,ChiTiet!V$2,FALSE)*1000,0),0)</f>
        <v>18000</v>
      </c>
      <c r="O38" s="26">
        <f>IFERROR(_xlfn.IFNA(VLOOKUP($C38,Dulieutho,ChiTiet!W$2,FALSE)*$O$3,0),0)</f>
        <v>6000</v>
      </c>
      <c r="P38" s="26">
        <f>IFERROR(_xlfn.IFNA(VLOOKUP($C38,Dulieutho,ChiTiet!X$2,FALSE)*$P$3,0),0)</f>
        <v>0</v>
      </c>
      <c r="Q38" s="26">
        <f>IFERROR(_xlfn.IFNA(VLOOKUP($C38,Dulieutho,ChiTiet!AG$2,FALSE),0),0)</f>
        <v>2000</v>
      </c>
      <c r="R38" s="26">
        <f>IFERROR(_xlfn.IFNA(VLOOKUP($C38,Dulieutho,ChiTiet!AH$2,FALSE),0),0)</f>
        <v>2</v>
      </c>
      <c r="S38" s="26">
        <f>IFERROR(_xlfn.IFNA(VLOOKUP($C38,Dulieutho,ChiTiet!AI$2,FALSE)*$S$3,0),0)</f>
        <v>2000</v>
      </c>
    </row>
    <row r="39" spans="2:19" ht="15.6">
      <c r="B39" s="10" t="s">
        <v>93</v>
      </c>
      <c r="C39" s="9" t="s">
        <v>162</v>
      </c>
      <c r="D39" s="11" t="s">
        <v>163</v>
      </c>
      <c r="E39" s="26">
        <f>IFERROR(_xlfn.IFNA(VLOOKUP($C39,Dulieutho,ChiTiet!M$2,FALSE),0)*$E$3,0)</f>
        <v>0</v>
      </c>
      <c r="F39" s="26">
        <f>IFERROR(_xlfn.IFNA(VLOOKUP($C39,Dulieutho,ChiTiet!N$2,FALSE),0)*$F$3,0)</f>
        <v>0</v>
      </c>
      <c r="G39" s="26">
        <f>IFERROR(_xlfn.IFNA(VLOOKUP($C39,Dulieutho,ChiTiet!O$2,FALSE),0)*$G$3,0)</f>
        <v>32</v>
      </c>
      <c r="H39" s="26">
        <f>IFERROR(_xlfn.IFNA(VLOOKUP($C39,Dulieutho,ChiTiet!P$2,FALSE),0),0)</f>
        <v>0</v>
      </c>
      <c r="I39" s="26">
        <f>IFERROR(_xlfn.IFNA(VLOOKUP($C39,Dulieutho,ChiTiet!Q$2,FALSE),0),0)</f>
        <v>1</v>
      </c>
      <c r="J39" s="26">
        <f>IFERROR(_xlfn.IFNA(VLOOKUP($C39,Dulieutho,ChiTiet!R$2,FALSE),0),0)</f>
        <v>5</v>
      </c>
      <c r="K39" s="26">
        <f>IFERROR(_xlfn.IFNA(VLOOKUP($C39,Dulieutho,ChiTiet!S$2,FALSE)*$K$3,0),0)</f>
        <v>324</v>
      </c>
      <c r="L39" s="26">
        <f>IFERROR(_xlfn.IFNA(VLOOKUP($C39,Dulieutho,ChiTiet!U$2,FALSE),0),0)</f>
        <v>0</v>
      </c>
      <c r="M39" s="26">
        <f>IFERROR(_xlfn.IFNA(VLOOKUP($C39,Dulieutho,ChiTiet!T$2,FALSE),0),0)</f>
        <v>2</v>
      </c>
      <c r="N39" s="26">
        <f>IFERROR(_xlfn.IFNA(VLOOKUP($C39,Dulieutho,ChiTiet!V$2,FALSE)*1000,0),0)</f>
        <v>8000</v>
      </c>
      <c r="O39" s="26">
        <f>IFERROR(_xlfn.IFNA(VLOOKUP($C39,Dulieutho,ChiTiet!W$2,FALSE)*$O$3,0),0)</f>
        <v>3000</v>
      </c>
      <c r="P39" s="26">
        <f>IFERROR(_xlfn.IFNA(VLOOKUP($C39,Dulieutho,ChiTiet!X$2,FALSE)*$P$3,0),0)</f>
        <v>0</v>
      </c>
      <c r="Q39" s="26">
        <f>IFERROR(_xlfn.IFNA(VLOOKUP($C39,Dulieutho,ChiTiet!AG$2,FALSE),0),0)</f>
        <v>0</v>
      </c>
      <c r="R39" s="26">
        <f>IFERROR(_xlfn.IFNA(VLOOKUP($C39,Dulieutho,ChiTiet!AH$2,FALSE),0),0)</f>
        <v>0</v>
      </c>
      <c r="S39" s="26">
        <f>IFERROR(_xlfn.IFNA(VLOOKUP($C39,Dulieutho,ChiTiet!AI$2,FALSE)*$S$3,0),0)</f>
        <v>0</v>
      </c>
    </row>
    <row r="40" spans="2:19" ht="15.6">
      <c r="B40" s="10" t="s">
        <v>93</v>
      </c>
      <c r="C40" s="9" t="s">
        <v>164</v>
      </c>
      <c r="D40" s="11" t="s">
        <v>165</v>
      </c>
      <c r="E40" s="26">
        <f>IFERROR(_xlfn.IFNA(VLOOKUP($C40,Dulieutho,ChiTiet!M$2,FALSE),0)*$E$3,0)</f>
        <v>1000</v>
      </c>
      <c r="F40" s="26">
        <f>IFERROR(_xlfn.IFNA(VLOOKUP($C40,Dulieutho,ChiTiet!N$2,FALSE),0)*$F$3,0)</f>
        <v>2000</v>
      </c>
      <c r="G40" s="26">
        <f>IFERROR(_xlfn.IFNA(VLOOKUP($C40,Dulieutho,ChiTiet!O$2,FALSE),0)*$G$3,0)</f>
        <v>64</v>
      </c>
      <c r="H40" s="26">
        <f>IFERROR(_xlfn.IFNA(VLOOKUP($C40,Dulieutho,ChiTiet!P$2,FALSE),0),0)</f>
        <v>25</v>
      </c>
      <c r="I40" s="26">
        <f>IFERROR(_xlfn.IFNA(VLOOKUP($C40,Dulieutho,ChiTiet!Q$2,FALSE),0),0)</f>
        <v>3</v>
      </c>
      <c r="J40" s="26">
        <f>IFERROR(_xlfn.IFNA(VLOOKUP($C40,Dulieutho,ChiTiet!R$2,FALSE),0),0)</f>
        <v>12</v>
      </c>
      <c r="K40" s="26">
        <f>IFERROR(_xlfn.IFNA(VLOOKUP($C40,Dulieutho,ChiTiet!S$2,FALSE)*$K$3,0),0)</f>
        <v>648</v>
      </c>
      <c r="L40" s="26">
        <f>IFERROR(_xlfn.IFNA(VLOOKUP($C40,Dulieutho,ChiTiet!U$2,FALSE),0),0)</f>
        <v>12</v>
      </c>
      <c r="M40" s="26">
        <f>IFERROR(_xlfn.IFNA(VLOOKUP($C40,Dulieutho,ChiTiet!T$2,FALSE),0),0)</f>
        <v>0</v>
      </c>
      <c r="N40" s="26">
        <f>IFERROR(_xlfn.IFNA(VLOOKUP($C40,Dulieutho,ChiTiet!V$2,FALSE)*1000,0),0)</f>
        <v>18000</v>
      </c>
      <c r="O40" s="26">
        <f>IFERROR(_xlfn.IFNA(VLOOKUP($C40,Dulieutho,ChiTiet!W$2,FALSE)*$O$3,0),0)</f>
        <v>6000</v>
      </c>
      <c r="P40" s="26">
        <f>IFERROR(_xlfn.IFNA(VLOOKUP($C40,Dulieutho,ChiTiet!X$2,FALSE)*$P$3,0),0)</f>
        <v>0</v>
      </c>
      <c r="Q40" s="26">
        <f>IFERROR(_xlfn.IFNA(VLOOKUP($C40,Dulieutho,ChiTiet!AG$2,FALSE),0),0)</f>
        <v>2000</v>
      </c>
      <c r="R40" s="26">
        <f>IFERROR(_xlfn.IFNA(VLOOKUP($C40,Dulieutho,ChiTiet!AH$2,FALSE),0),0)</f>
        <v>1</v>
      </c>
      <c r="S40" s="26">
        <f>IFERROR(_xlfn.IFNA(VLOOKUP($C40,Dulieutho,ChiTiet!AI$2,FALSE)*$S$3,0),0)</f>
        <v>2000</v>
      </c>
    </row>
    <row r="41" spans="2:19" ht="15.6">
      <c r="B41" s="10" t="s">
        <v>93</v>
      </c>
      <c r="C41" s="9" t="s">
        <v>166</v>
      </c>
      <c r="D41" s="11" t="s">
        <v>167</v>
      </c>
      <c r="E41" s="26">
        <f>IFERROR(_xlfn.IFNA(VLOOKUP($C41,Dulieutho,ChiTiet!M$2,FALSE),0)*$E$3,0)</f>
        <v>0</v>
      </c>
      <c r="F41" s="26">
        <f>IFERROR(_xlfn.IFNA(VLOOKUP($C41,Dulieutho,ChiTiet!N$2,FALSE),0)*$F$3,0)</f>
        <v>1000</v>
      </c>
      <c r="G41" s="26">
        <f>IFERROR(_xlfn.IFNA(VLOOKUP($C41,Dulieutho,ChiTiet!O$2,FALSE),0)*$G$3,0)</f>
        <v>32</v>
      </c>
      <c r="H41" s="26">
        <f>IFERROR(_xlfn.IFNA(VLOOKUP($C41,Dulieutho,ChiTiet!P$2,FALSE),0),0)</f>
        <v>25</v>
      </c>
      <c r="I41" s="26">
        <f>IFERROR(_xlfn.IFNA(VLOOKUP($C41,Dulieutho,ChiTiet!Q$2,FALSE),0),0)</f>
        <v>3</v>
      </c>
      <c r="J41" s="26">
        <f>IFERROR(_xlfn.IFNA(VLOOKUP($C41,Dulieutho,ChiTiet!R$2,FALSE),0),0)</f>
        <v>14</v>
      </c>
      <c r="K41" s="26">
        <f>IFERROR(_xlfn.IFNA(VLOOKUP($C41,Dulieutho,ChiTiet!S$2,FALSE)*$K$3,0),0)</f>
        <v>648</v>
      </c>
      <c r="L41" s="26">
        <f>IFERROR(_xlfn.IFNA(VLOOKUP($C41,Dulieutho,ChiTiet!U$2,FALSE),0),0)</f>
        <v>24</v>
      </c>
      <c r="M41" s="26">
        <f>IFERROR(_xlfn.IFNA(VLOOKUP($C41,Dulieutho,ChiTiet!T$2,FALSE),0),0)</f>
        <v>5</v>
      </c>
      <c r="N41" s="26">
        <f>IFERROR(_xlfn.IFNA(VLOOKUP($C41,Dulieutho,ChiTiet!V$2,FALSE)*1000,0),0)</f>
        <v>28000</v>
      </c>
      <c r="O41" s="26">
        <f>IFERROR(_xlfn.IFNA(VLOOKUP($C41,Dulieutho,ChiTiet!W$2,FALSE)*$O$3,0),0)</f>
        <v>11000</v>
      </c>
      <c r="P41" s="26">
        <f>IFERROR(_xlfn.IFNA(VLOOKUP($C41,Dulieutho,ChiTiet!X$2,FALSE)*$P$3,0),0)</f>
        <v>1000</v>
      </c>
      <c r="Q41" s="26">
        <f>IFERROR(_xlfn.IFNA(VLOOKUP($C41,Dulieutho,ChiTiet!AG$2,FALSE),0),0)</f>
        <v>2000</v>
      </c>
      <c r="R41" s="26">
        <f>IFERROR(_xlfn.IFNA(VLOOKUP($C41,Dulieutho,ChiTiet!AH$2,FALSE),0),0)</f>
        <v>1</v>
      </c>
      <c r="S41" s="26">
        <f>IFERROR(_xlfn.IFNA(VLOOKUP($C41,Dulieutho,ChiTiet!AI$2,FALSE)*$S$3,0),0)</f>
        <v>2000</v>
      </c>
    </row>
    <row r="42" spans="2:19" ht="15.6">
      <c r="B42" s="10" t="s">
        <v>93</v>
      </c>
      <c r="C42" s="9" t="s">
        <v>168</v>
      </c>
      <c r="D42" s="11" t="s">
        <v>169</v>
      </c>
      <c r="E42" s="26">
        <f>IFERROR(_xlfn.IFNA(VLOOKUP($C42,Dulieutho,ChiTiet!M$2,FALSE),0)*$E$3,0)</f>
        <v>500</v>
      </c>
      <c r="F42" s="26">
        <f>IFERROR(_xlfn.IFNA(VLOOKUP($C42,Dulieutho,ChiTiet!N$2,FALSE),0)*$F$3,0)</f>
        <v>0</v>
      </c>
      <c r="G42" s="26">
        <f>IFERROR(_xlfn.IFNA(VLOOKUP($C42,Dulieutho,ChiTiet!O$2,FALSE),0)*$G$3,0)</f>
        <v>96</v>
      </c>
      <c r="H42" s="26">
        <f>IFERROR(_xlfn.IFNA(VLOOKUP($C42,Dulieutho,ChiTiet!P$2,FALSE),0),0)</f>
        <v>0</v>
      </c>
      <c r="I42" s="26">
        <f>IFERROR(_xlfn.IFNA(VLOOKUP($C42,Dulieutho,ChiTiet!Q$2,FALSE),0),0)</f>
        <v>1</v>
      </c>
      <c r="J42" s="26">
        <f>IFERROR(_xlfn.IFNA(VLOOKUP($C42,Dulieutho,ChiTiet!R$2,FALSE),0),0)</f>
        <v>6</v>
      </c>
      <c r="K42" s="26">
        <f>IFERROR(_xlfn.IFNA(VLOOKUP($C42,Dulieutho,ChiTiet!S$2,FALSE)*$K$3,0),0)</f>
        <v>432</v>
      </c>
      <c r="L42" s="26">
        <f>IFERROR(_xlfn.IFNA(VLOOKUP($C42,Dulieutho,ChiTiet!U$2,FALSE),0),0)</f>
        <v>12</v>
      </c>
      <c r="M42" s="26">
        <f>IFERROR(_xlfn.IFNA(VLOOKUP($C42,Dulieutho,ChiTiet!T$2,FALSE),0),0)</f>
        <v>3</v>
      </c>
      <c r="N42" s="26">
        <f>IFERROR(_xlfn.IFNA(VLOOKUP($C42,Dulieutho,ChiTiet!V$2,FALSE)*1000,0),0)</f>
        <v>6000</v>
      </c>
      <c r="O42" s="26">
        <f>IFERROR(_xlfn.IFNA(VLOOKUP($C42,Dulieutho,ChiTiet!W$2,FALSE)*$O$3,0),0)</f>
        <v>6000</v>
      </c>
      <c r="P42" s="26">
        <f>IFERROR(_xlfn.IFNA(VLOOKUP($C42,Dulieutho,ChiTiet!X$2,FALSE)*$P$3,0),0)</f>
        <v>0</v>
      </c>
      <c r="Q42" s="26">
        <f>IFERROR(_xlfn.IFNA(VLOOKUP($C42,Dulieutho,ChiTiet!AG$2,FALSE),0),0)</f>
        <v>1000</v>
      </c>
      <c r="R42" s="26">
        <f>IFERROR(_xlfn.IFNA(VLOOKUP($C42,Dulieutho,ChiTiet!AH$2,FALSE),0),0)</f>
        <v>0</v>
      </c>
      <c r="S42" s="26">
        <f>IFERROR(_xlfn.IFNA(VLOOKUP($C42,Dulieutho,ChiTiet!AI$2,FALSE)*$S$3,0),0)</f>
        <v>1000</v>
      </c>
    </row>
    <row r="43" spans="2:19" ht="15.6">
      <c r="B43" s="10" t="s">
        <v>93</v>
      </c>
      <c r="C43" s="9" t="s">
        <v>170</v>
      </c>
      <c r="D43" s="11" t="s">
        <v>171</v>
      </c>
      <c r="E43" s="26">
        <f>IFERROR(_xlfn.IFNA(VLOOKUP($C43,Dulieutho,ChiTiet!M$2,FALSE),0)*$E$3,0)</f>
        <v>0</v>
      </c>
      <c r="F43" s="26">
        <f>IFERROR(_xlfn.IFNA(VLOOKUP($C43,Dulieutho,ChiTiet!N$2,FALSE),0)*$F$3,0)</f>
        <v>1000</v>
      </c>
      <c r="G43" s="26">
        <f>IFERROR(_xlfn.IFNA(VLOOKUP($C43,Dulieutho,ChiTiet!O$2,FALSE),0)*$G$3,0)</f>
        <v>32</v>
      </c>
      <c r="H43" s="26">
        <f>IFERROR(_xlfn.IFNA(VLOOKUP($C43,Dulieutho,ChiTiet!P$2,FALSE),0),0)</f>
        <v>0</v>
      </c>
      <c r="I43" s="26">
        <f>IFERROR(_xlfn.IFNA(VLOOKUP($C43,Dulieutho,ChiTiet!Q$2,FALSE),0),0)</f>
        <v>4</v>
      </c>
      <c r="J43" s="26">
        <f>IFERROR(_xlfn.IFNA(VLOOKUP($C43,Dulieutho,ChiTiet!R$2,FALSE),0),0)</f>
        <v>12</v>
      </c>
      <c r="K43" s="26">
        <f>IFERROR(_xlfn.IFNA(VLOOKUP($C43,Dulieutho,ChiTiet!S$2,FALSE)*$K$3,0),0)</f>
        <v>216</v>
      </c>
      <c r="L43" s="26">
        <f>IFERROR(_xlfn.IFNA(VLOOKUP($C43,Dulieutho,ChiTiet!U$2,FALSE),0),0)</f>
        <v>12</v>
      </c>
      <c r="M43" s="26">
        <f>IFERROR(_xlfn.IFNA(VLOOKUP($C43,Dulieutho,ChiTiet!T$2,FALSE),0),0)</f>
        <v>0</v>
      </c>
      <c r="N43" s="26">
        <f>IFERROR(_xlfn.IFNA(VLOOKUP($C43,Dulieutho,ChiTiet!V$2,FALSE)*1000,0),0)</f>
        <v>8000</v>
      </c>
      <c r="O43" s="26">
        <f>IFERROR(_xlfn.IFNA(VLOOKUP($C43,Dulieutho,ChiTiet!W$2,FALSE)*$O$3,0),0)</f>
        <v>3000</v>
      </c>
      <c r="P43" s="26">
        <f>IFERROR(_xlfn.IFNA(VLOOKUP($C43,Dulieutho,ChiTiet!X$2,FALSE)*$P$3,0),0)</f>
        <v>0</v>
      </c>
      <c r="Q43" s="26">
        <f>IFERROR(_xlfn.IFNA(VLOOKUP($C43,Dulieutho,ChiTiet!AG$2,FALSE),0),0)</f>
        <v>1000</v>
      </c>
      <c r="R43" s="26">
        <f>IFERROR(_xlfn.IFNA(VLOOKUP($C43,Dulieutho,ChiTiet!AH$2,FALSE),0),0)</f>
        <v>1</v>
      </c>
      <c r="S43" s="26">
        <f>IFERROR(_xlfn.IFNA(VLOOKUP($C43,Dulieutho,ChiTiet!AI$2,FALSE)*$S$3,0),0)</f>
        <v>1000</v>
      </c>
    </row>
    <row r="44" spans="2:19" ht="15.6">
      <c r="B44" s="10" t="s">
        <v>93</v>
      </c>
      <c r="C44" s="9" t="s">
        <v>172</v>
      </c>
      <c r="D44" s="11" t="s">
        <v>173</v>
      </c>
      <c r="E44" s="26">
        <f>IFERROR(_xlfn.IFNA(VLOOKUP($C44,Dulieutho,ChiTiet!M$2,FALSE),0)*$E$3,0)</f>
        <v>500</v>
      </c>
      <c r="F44" s="26">
        <f>IFERROR(_xlfn.IFNA(VLOOKUP($C44,Dulieutho,ChiTiet!N$2,FALSE),0)*$F$3,0)</f>
        <v>1000</v>
      </c>
      <c r="G44" s="26">
        <f>IFERROR(_xlfn.IFNA(VLOOKUP($C44,Dulieutho,ChiTiet!O$2,FALSE),0)*$G$3,0)</f>
        <v>32</v>
      </c>
      <c r="H44" s="26">
        <f>IFERROR(_xlfn.IFNA(VLOOKUP($C44,Dulieutho,ChiTiet!P$2,FALSE),0),0)</f>
        <v>0</v>
      </c>
      <c r="I44" s="26">
        <f>IFERROR(_xlfn.IFNA(VLOOKUP($C44,Dulieutho,ChiTiet!Q$2,FALSE),0),0)</f>
        <v>1</v>
      </c>
      <c r="J44" s="26">
        <f>IFERROR(_xlfn.IFNA(VLOOKUP($C44,Dulieutho,ChiTiet!R$2,FALSE),0),0)</f>
        <v>4</v>
      </c>
      <c r="K44" s="26">
        <f>IFERROR(_xlfn.IFNA(VLOOKUP($C44,Dulieutho,ChiTiet!S$2,FALSE)*$K$3,0),0)</f>
        <v>432</v>
      </c>
      <c r="L44" s="26">
        <f>IFERROR(_xlfn.IFNA(VLOOKUP($C44,Dulieutho,ChiTiet!U$2,FALSE),0),0)</f>
        <v>0</v>
      </c>
      <c r="M44" s="26">
        <f>IFERROR(_xlfn.IFNA(VLOOKUP($C44,Dulieutho,ChiTiet!T$2,FALSE),0),0)</f>
        <v>2</v>
      </c>
      <c r="N44" s="26">
        <f>IFERROR(_xlfn.IFNA(VLOOKUP($C44,Dulieutho,ChiTiet!V$2,FALSE)*1000,0),0)</f>
        <v>8000</v>
      </c>
      <c r="O44" s="26">
        <f>IFERROR(_xlfn.IFNA(VLOOKUP($C44,Dulieutho,ChiTiet!W$2,FALSE)*$O$3,0),0)</f>
        <v>4000</v>
      </c>
      <c r="P44" s="26">
        <f>IFERROR(_xlfn.IFNA(VLOOKUP($C44,Dulieutho,ChiTiet!X$2,FALSE)*$P$3,0),0)</f>
        <v>1000</v>
      </c>
      <c r="Q44" s="26">
        <f>IFERROR(_xlfn.IFNA(VLOOKUP($C44,Dulieutho,ChiTiet!AG$2,FALSE),0),0)</f>
        <v>2000</v>
      </c>
      <c r="R44" s="26">
        <f>IFERROR(_xlfn.IFNA(VLOOKUP($C44,Dulieutho,ChiTiet!AH$2,FALSE),0),0)</f>
        <v>1</v>
      </c>
      <c r="S44" s="26">
        <f>IFERROR(_xlfn.IFNA(VLOOKUP($C44,Dulieutho,ChiTiet!AI$2,FALSE)*$S$3,0),0)</f>
        <v>2000</v>
      </c>
    </row>
    <row r="45" spans="2:19" ht="15.6">
      <c r="B45" s="10" t="s">
        <v>93</v>
      </c>
      <c r="C45" s="9" t="s">
        <v>174</v>
      </c>
      <c r="D45" s="11" t="s">
        <v>175</v>
      </c>
      <c r="E45" s="26">
        <f>IFERROR(_xlfn.IFNA(VLOOKUP($C45,Dulieutho,ChiTiet!M$2,FALSE),0)*$E$3,0)</f>
        <v>500</v>
      </c>
      <c r="F45" s="26">
        <f>IFERROR(_xlfn.IFNA(VLOOKUP($C45,Dulieutho,ChiTiet!N$2,FALSE),0)*$F$3,0)</f>
        <v>2000</v>
      </c>
      <c r="G45" s="26">
        <f>IFERROR(_xlfn.IFNA(VLOOKUP($C45,Dulieutho,ChiTiet!O$2,FALSE),0)*$G$3,0)</f>
        <v>320</v>
      </c>
      <c r="H45" s="26">
        <f>IFERROR(_xlfn.IFNA(VLOOKUP($C45,Dulieutho,ChiTiet!P$2,FALSE),0),0)</f>
        <v>0</v>
      </c>
      <c r="I45" s="26">
        <f>IFERROR(_xlfn.IFNA(VLOOKUP($C45,Dulieutho,ChiTiet!Q$2,FALSE),0),0)</f>
        <v>4</v>
      </c>
      <c r="J45" s="26">
        <f>IFERROR(_xlfn.IFNA(VLOOKUP($C45,Dulieutho,ChiTiet!R$2,FALSE),0),0)</f>
        <v>8</v>
      </c>
      <c r="K45" s="26">
        <f>IFERROR(_xlfn.IFNA(VLOOKUP($C45,Dulieutho,ChiTiet!S$2,FALSE)*$K$3,0),0)</f>
        <v>1080</v>
      </c>
      <c r="L45" s="26">
        <f>IFERROR(_xlfn.IFNA(VLOOKUP($C45,Dulieutho,ChiTiet!U$2,FALSE),0),0)</f>
        <v>24</v>
      </c>
      <c r="M45" s="26">
        <f>IFERROR(_xlfn.IFNA(VLOOKUP($C45,Dulieutho,ChiTiet!T$2,FALSE),0),0)</f>
        <v>2</v>
      </c>
      <c r="N45" s="26">
        <f>IFERROR(_xlfn.IFNA(VLOOKUP($C45,Dulieutho,ChiTiet!V$2,FALSE)*1000,0),0)</f>
        <v>14000</v>
      </c>
      <c r="O45" s="26">
        <f>IFERROR(_xlfn.IFNA(VLOOKUP($C45,Dulieutho,ChiTiet!W$2,FALSE)*$O$3,0),0)</f>
        <v>28000</v>
      </c>
      <c r="P45" s="26">
        <f>IFERROR(_xlfn.IFNA(VLOOKUP($C45,Dulieutho,ChiTiet!X$2,FALSE)*$P$3,0),0)</f>
        <v>0</v>
      </c>
      <c r="Q45" s="26">
        <f>IFERROR(_xlfn.IFNA(VLOOKUP($C45,Dulieutho,ChiTiet!AG$2,FALSE),0),0)</f>
        <v>2000</v>
      </c>
      <c r="R45" s="26">
        <f>IFERROR(_xlfn.IFNA(VLOOKUP($C45,Dulieutho,ChiTiet!AH$2,FALSE),0),0)</f>
        <v>1</v>
      </c>
      <c r="S45" s="26">
        <f>IFERROR(_xlfn.IFNA(VLOOKUP($C45,Dulieutho,ChiTiet!AI$2,FALSE)*$S$3,0),0)</f>
        <v>2000</v>
      </c>
    </row>
    <row r="46" spans="2:19" ht="15.6">
      <c r="B46" s="10" t="s">
        <v>93</v>
      </c>
      <c r="C46" s="9" t="s">
        <v>176</v>
      </c>
      <c r="D46" s="11" t="s">
        <v>177</v>
      </c>
      <c r="E46" s="26">
        <f>IFERROR(_xlfn.IFNA(VLOOKUP($C46,Dulieutho,ChiTiet!M$2,FALSE),0)*$E$3,0)</f>
        <v>500</v>
      </c>
      <c r="F46" s="26">
        <f>IFERROR(_xlfn.IFNA(VLOOKUP($C46,Dulieutho,ChiTiet!N$2,FALSE),0)*$F$3,0)</f>
        <v>0</v>
      </c>
      <c r="G46" s="26">
        <f>IFERROR(_xlfn.IFNA(VLOOKUP($C46,Dulieutho,ChiTiet!O$2,FALSE),0)*$G$3,0)</f>
        <v>64</v>
      </c>
      <c r="H46" s="26">
        <f>IFERROR(_xlfn.IFNA(VLOOKUP($C46,Dulieutho,ChiTiet!P$2,FALSE),0),0)</f>
        <v>0</v>
      </c>
      <c r="I46" s="26">
        <f>IFERROR(_xlfn.IFNA(VLOOKUP($C46,Dulieutho,ChiTiet!Q$2,FALSE),0),0)</f>
        <v>1</v>
      </c>
      <c r="J46" s="26">
        <f>IFERROR(_xlfn.IFNA(VLOOKUP($C46,Dulieutho,ChiTiet!R$2,FALSE),0),0)</f>
        <v>0</v>
      </c>
      <c r="K46" s="26">
        <f>IFERROR(_xlfn.IFNA(VLOOKUP($C46,Dulieutho,ChiTiet!S$2,FALSE)*$K$3,0),0)</f>
        <v>648</v>
      </c>
      <c r="L46" s="26">
        <f>IFERROR(_xlfn.IFNA(VLOOKUP($C46,Dulieutho,ChiTiet!U$2,FALSE),0),0)</f>
        <v>12</v>
      </c>
      <c r="M46" s="26">
        <f>IFERROR(_xlfn.IFNA(VLOOKUP($C46,Dulieutho,ChiTiet!T$2,FALSE),0),0)</f>
        <v>0</v>
      </c>
      <c r="N46" s="26">
        <f>IFERROR(_xlfn.IFNA(VLOOKUP($C46,Dulieutho,ChiTiet!V$2,FALSE)*1000,0),0)</f>
        <v>10000</v>
      </c>
      <c r="O46" s="26">
        <f>IFERROR(_xlfn.IFNA(VLOOKUP($C46,Dulieutho,ChiTiet!W$2,FALSE)*$O$3,0),0)</f>
        <v>3000</v>
      </c>
      <c r="P46" s="26">
        <f>IFERROR(_xlfn.IFNA(VLOOKUP($C46,Dulieutho,ChiTiet!X$2,FALSE)*$P$3,0),0)</f>
        <v>500</v>
      </c>
      <c r="Q46" s="26">
        <f>IFERROR(_xlfn.IFNA(VLOOKUP($C46,Dulieutho,ChiTiet!AG$2,FALSE),0),0)</f>
        <v>1000</v>
      </c>
      <c r="R46" s="26">
        <f>IFERROR(_xlfn.IFNA(VLOOKUP($C46,Dulieutho,ChiTiet!AH$2,FALSE),0),0)</f>
        <v>1</v>
      </c>
      <c r="S46" s="26">
        <f>IFERROR(_xlfn.IFNA(VLOOKUP($C46,Dulieutho,ChiTiet!AI$2,FALSE)*$S$3,0),0)</f>
        <v>1000</v>
      </c>
    </row>
    <row r="47" spans="2:19" ht="15.6">
      <c r="B47" s="10" t="s">
        <v>93</v>
      </c>
      <c r="C47" s="9" t="s">
        <v>178</v>
      </c>
      <c r="D47" s="11" t="s">
        <v>179</v>
      </c>
      <c r="E47" s="26">
        <f>IFERROR(_xlfn.IFNA(VLOOKUP($C47,Dulieutho,ChiTiet!M$2,FALSE),0)*$E$3,0)</f>
        <v>0</v>
      </c>
      <c r="F47" s="26">
        <f>IFERROR(_xlfn.IFNA(VLOOKUP($C47,Dulieutho,ChiTiet!N$2,FALSE),0)*$F$3,0)</f>
        <v>1000</v>
      </c>
      <c r="G47" s="26">
        <f>IFERROR(_xlfn.IFNA(VLOOKUP($C47,Dulieutho,ChiTiet!O$2,FALSE),0)*$G$3,0)</f>
        <v>0</v>
      </c>
      <c r="H47" s="26">
        <f>IFERROR(_xlfn.IFNA(VLOOKUP($C47,Dulieutho,ChiTiet!P$2,FALSE),0),0)</f>
        <v>25</v>
      </c>
      <c r="I47" s="26">
        <f>IFERROR(_xlfn.IFNA(VLOOKUP($C47,Dulieutho,ChiTiet!Q$2,FALSE),0),0)</f>
        <v>2</v>
      </c>
      <c r="J47" s="26">
        <f>IFERROR(_xlfn.IFNA(VLOOKUP($C47,Dulieutho,ChiTiet!R$2,FALSE),0),0)</f>
        <v>5</v>
      </c>
      <c r="K47" s="26">
        <f>IFERROR(_xlfn.IFNA(VLOOKUP($C47,Dulieutho,ChiTiet!S$2,FALSE)*$K$3,0),0)</f>
        <v>540</v>
      </c>
      <c r="L47" s="26">
        <f>IFERROR(_xlfn.IFNA(VLOOKUP($C47,Dulieutho,ChiTiet!U$2,FALSE),0),0)</f>
        <v>24</v>
      </c>
      <c r="M47" s="26">
        <f>IFERROR(_xlfn.IFNA(VLOOKUP($C47,Dulieutho,ChiTiet!T$2,FALSE),0),0)</f>
        <v>1</v>
      </c>
      <c r="N47" s="26">
        <f>IFERROR(_xlfn.IFNA(VLOOKUP($C47,Dulieutho,ChiTiet!V$2,FALSE)*1000,0),0)</f>
        <v>10000</v>
      </c>
      <c r="O47" s="26">
        <f>IFERROR(_xlfn.IFNA(VLOOKUP($C47,Dulieutho,ChiTiet!W$2,FALSE)*$O$3,0),0)</f>
        <v>5000</v>
      </c>
      <c r="P47" s="26">
        <f>IFERROR(_xlfn.IFNA(VLOOKUP($C47,Dulieutho,ChiTiet!X$2,FALSE)*$P$3,0),0)</f>
        <v>0</v>
      </c>
      <c r="Q47" s="26">
        <f>IFERROR(_xlfn.IFNA(VLOOKUP($C47,Dulieutho,ChiTiet!AG$2,FALSE),0),0)</f>
        <v>1000</v>
      </c>
      <c r="R47" s="26">
        <f>IFERROR(_xlfn.IFNA(VLOOKUP($C47,Dulieutho,ChiTiet!AH$2,FALSE),0),0)</f>
        <v>0</v>
      </c>
      <c r="S47" s="26">
        <f>IFERROR(_xlfn.IFNA(VLOOKUP($C47,Dulieutho,ChiTiet!AI$2,FALSE)*$S$3,0),0)</f>
        <v>1000</v>
      </c>
    </row>
    <row r="48" spans="2:19" ht="15.6">
      <c r="B48" s="10" t="s">
        <v>93</v>
      </c>
      <c r="C48" s="9" t="s">
        <v>180</v>
      </c>
      <c r="D48" s="11" t="s">
        <v>181</v>
      </c>
      <c r="E48" s="26">
        <f>IFERROR(_xlfn.IFNA(VLOOKUP($C48,Dulieutho,ChiTiet!M$2,FALSE),0)*$E$3,0)</f>
        <v>500</v>
      </c>
      <c r="F48" s="26">
        <f>IFERROR(_xlfn.IFNA(VLOOKUP($C48,Dulieutho,ChiTiet!N$2,FALSE),0)*$F$3,0)</f>
        <v>2000</v>
      </c>
      <c r="G48" s="26">
        <f>IFERROR(_xlfn.IFNA(VLOOKUP($C48,Dulieutho,ChiTiet!O$2,FALSE),0)*$G$3,0)</f>
        <v>160</v>
      </c>
      <c r="H48" s="26">
        <f>IFERROR(_xlfn.IFNA(VLOOKUP($C48,Dulieutho,ChiTiet!P$2,FALSE),0),0)</f>
        <v>25</v>
      </c>
      <c r="I48" s="26">
        <f>IFERROR(_xlfn.IFNA(VLOOKUP($C48,Dulieutho,ChiTiet!Q$2,FALSE),0),0)</f>
        <v>2</v>
      </c>
      <c r="J48" s="26">
        <f>IFERROR(_xlfn.IFNA(VLOOKUP($C48,Dulieutho,ChiTiet!R$2,FALSE),0),0)</f>
        <v>8.5</v>
      </c>
      <c r="K48" s="26">
        <f>IFERROR(_xlfn.IFNA(VLOOKUP($C48,Dulieutho,ChiTiet!S$2,FALSE)*$K$3,0),0)</f>
        <v>324</v>
      </c>
      <c r="L48" s="26">
        <f>IFERROR(_xlfn.IFNA(VLOOKUP($C48,Dulieutho,ChiTiet!U$2,FALSE),0),0)</f>
        <v>12</v>
      </c>
      <c r="M48" s="26">
        <f>IFERROR(_xlfn.IFNA(VLOOKUP($C48,Dulieutho,ChiTiet!T$2,FALSE),0),0)</f>
        <v>4</v>
      </c>
      <c r="N48" s="26">
        <f>IFERROR(_xlfn.IFNA(VLOOKUP($C48,Dulieutho,ChiTiet!V$2,FALSE)*1000,0),0)</f>
        <v>10000</v>
      </c>
      <c r="O48" s="26">
        <f>IFERROR(_xlfn.IFNA(VLOOKUP($C48,Dulieutho,ChiTiet!W$2,FALSE)*$O$3,0),0)</f>
        <v>12000</v>
      </c>
      <c r="P48" s="26">
        <f>IFERROR(_xlfn.IFNA(VLOOKUP($C48,Dulieutho,ChiTiet!X$2,FALSE)*$P$3,0),0)</f>
        <v>0</v>
      </c>
      <c r="Q48" s="26">
        <f>IFERROR(_xlfn.IFNA(VLOOKUP($C48,Dulieutho,ChiTiet!AG$2,FALSE),0),0)</f>
        <v>1000</v>
      </c>
      <c r="R48" s="26">
        <f>IFERROR(_xlfn.IFNA(VLOOKUP($C48,Dulieutho,ChiTiet!AH$2,FALSE),0),0)</f>
        <v>0</v>
      </c>
      <c r="S48" s="26">
        <f>IFERROR(_xlfn.IFNA(VLOOKUP($C48,Dulieutho,ChiTiet!AI$2,FALSE)*$S$3,0),0)</f>
        <v>1000</v>
      </c>
    </row>
    <row r="49" spans="2:19" ht="15.6">
      <c r="B49" s="10" t="s">
        <v>93</v>
      </c>
      <c r="C49" s="9" t="s">
        <v>182</v>
      </c>
      <c r="D49" s="11" t="s">
        <v>183</v>
      </c>
      <c r="E49" s="26">
        <f>IFERROR(_xlfn.IFNA(VLOOKUP($C49,Dulieutho,ChiTiet!M$2,FALSE),0)*$E$3,0)</f>
        <v>0</v>
      </c>
      <c r="F49" s="26">
        <f>IFERROR(_xlfn.IFNA(VLOOKUP($C49,Dulieutho,ChiTiet!N$2,FALSE),0)*$F$3,0)</f>
        <v>0</v>
      </c>
      <c r="G49" s="26">
        <f>IFERROR(_xlfn.IFNA(VLOOKUP($C49,Dulieutho,ChiTiet!O$2,FALSE),0)*$G$3,0)</f>
        <v>32</v>
      </c>
      <c r="H49" s="26">
        <f>IFERROR(_xlfn.IFNA(VLOOKUP($C49,Dulieutho,ChiTiet!P$2,FALSE),0),0)</f>
        <v>0</v>
      </c>
      <c r="I49" s="26">
        <f>IFERROR(_xlfn.IFNA(VLOOKUP($C49,Dulieutho,ChiTiet!Q$2,FALSE),0),0)</f>
        <v>1</v>
      </c>
      <c r="J49" s="26">
        <f>IFERROR(_xlfn.IFNA(VLOOKUP($C49,Dulieutho,ChiTiet!R$2,FALSE),0),0)</f>
        <v>5</v>
      </c>
      <c r="K49" s="26">
        <f>IFERROR(_xlfn.IFNA(VLOOKUP($C49,Dulieutho,ChiTiet!S$2,FALSE)*$K$3,0),0)</f>
        <v>108</v>
      </c>
      <c r="L49" s="26">
        <f>IFERROR(_xlfn.IFNA(VLOOKUP($C49,Dulieutho,ChiTiet!U$2,FALSE),0),0)</f>
        <v>0</v>
      </c>
      <c r="M49" s="26">
        <f>IFERROR(_xlfn.IFNA(VLOOKUP($C49,Dulieutho,ChiTiet!T$2,FALSE),0),0)</f>
        <v>1</v>
      </c>
      <c r="N49" s="26">
        <f>IFERROR(_xlfn.IFNA(VLOOKUP($C49,Dulieutho,ChiTiet!V$2,FALSE)*1000,0),0)</f>
        <v>6000</v>
      </c>
      <c r="O49" s="26">
        <f>IFERROR(_xlfn.IFNA(VLOOKUP($C49,Dulieutho,ChiTiet!W$2,FALSE)*$O$3,0),0)</f>
        <v>1000</v>
      </c>
      <c r="P49" s="26">
        <f>IFERROR(_xlfn.IFNA(VLOOKUP($C49,Dulieutho,ChiTiet!X$2,FALSE)*$P$3,0),0)</f>
        <v>500</v>
      </c>
      <c r="Q49" s="26">
        <f>IFERROR(_xlfn.IFNA(VLOOKUP($C49,Dulieutho,ChiTiet!AG$2,FALSE),0),0)</f>
        <v>1000</v>
      </c>
      <c r="R49" s="26">
        <f>IFERROR(_xlfn.IFNA(VLOOKUP($C49,Dulieutho,ChiTiet!AH$2,FALSE),0),0)</f>
        <v>0</v>
      </c>
      <c r="S49" s="26">
        <f>IFERROR(_xlfn.IFNA(VLOOKUP($C49,Dulieutho,ChiTiet!AI$2,FALSE)*$S$3,0),0)</f>
        <v>1000</v>
      </c>
    </row>
    <row r="50" spans="2:19" ht="15.6">
      <c r="B50" s="10" t="s">
        <v>93</v>
      </c>
      <c r="C50" s="9" t="s">
        <v>184</v>
      </c>
      <c r="D50" s="11" t="s">
        <v>185</v>
      </c>
      <c r="E50" s="26">
        <f>IFERROR(_xlfn.IFNA(VLOOKUP($C50,Dulieutho,ChiTiet!M$2,FALSE),0)*$E$3,0)</f>
        <v>0</v>
      </c>
      <c r="F50" s="26">
        <f>IFERROR(_xlfn.IFNA(VLOOKUP($C50,Dulieutho,ChiTiet!N$2,FALSE),0)*$F$3,0)</f>
        <v>0</v>
      </c>
      <c r="G50" s="26">
        <f>IFERROR(_xlfn.IFNA(VLOOKUP($C50,Dulieutho,ChiTiet!O$2,FALSE),0)*$G$3,0)</f>
        <v>0</v>
      </c>
      <c r="H50" s="26">
        <f>IFERROR(_xlfn.IFNA(VLOOKUP($C50,Dulieutho,ChiTiet!P$2,FALSE),0),0)</f>
        <v>0</v>
      </c>
      <c r="I50" s="26">
        <f>IFERROR(_xlfn.IFNA(VLOOKUP($C50,Dulieutho,ChiTiet!Q$2,FALSE),0),0)</f>
        <v>11</v>
      </c>
      <c r="J50" s="26">
        <f>IFERROR(_xlfn.IFNA(VLOOKUP($C50,Dulieutho,ChiTiet!R$2,FALSE),0),0)</f>
        <v>12</v>
      </c>
      <c r="K50" s="26">
        <f>IFERROR(_xlfn.IFNA(VLOOKUP($C50,Dulieutho,ChiTiet!S$2,FALSE)*$K$3,0),0)</f>
        <v>324</v>
      </c>
      <c r="L50" s="26">
        <f>IFERROR(_xlfn.IFNA(VLOOKUP($C50,Dulieutho,ChiTiet!U$2,FALSE),0),0)</f>
        <v>0</v>
      </c>
      <c r="M50" s="26">
        <f>IFERROR(_xlfn.IFNA(VLOOKUP($C50,Dulieutho,ChiTiet!T$2,FALSE),0),0)</f>
        <v>12</v>
      </c>
      <c r="N50" s="26">
        <f>IFERROR(_xlfn.IFNA(VLOOKUP($C50,Dulieutho,ChiTiet!V$2,FALSE)*1000,0),0)</f>
        <v>6000</v>
      </c>
      <c r="O50" s="26">
        <f>IFERROR(_xlfn.IFNA(VLOOKUP($C50,Dulieutho,ChiTiet!W$2,FALSE)*$O$3,0),0)</f>
        <v>4000</v>
      </c>
      <c r="P50" s="26">
        <f>IFERROR(_xlfn.IFNA(VLOOKUP($C50,Dulieutho,ChiTiet!X$2,FALSE)*$P$3,0),0)</f>
        <v>0</v>
      </c>
      <c r="Q50" s="26">
        <f>IFERROR(_xlfn.IFNA(VLOOKUP($C50,Dulieutho,ChiTiet!AG$2,FALSE),0),0)</f>
        <v>0</v>
      </c>
      <c r="R50" s="26">
        <f>IFERROR(_xlfn.IFNA(VLOOKUP($C50,Dulieutho,ChiTiet!AH$2,FALSE),0),0)</f>
        <v>0</v>
      </c>
      <c r="S50" s="26">
        <f>IFERROR(_xlfn.IFNA(VLOOKUP($C50,Dulieutho,ChiTiet!AI$2,FALSE)*$S$3,0),0)</f>
        <v>0</v>
      </c>
    </row>
    <row r="51" spans="2:19" ht="15.6">
      <c r="B51" s="10" t="s">
        <v>93</v>
      </c>
      <c r="C51" s="9" t="s">
        <v>186</v>
      </c>
      <c r="D51" s="11" t="s">
        <v>187</v>
      </c>
      <c r="E51" s="26">
        <f>IFERROR(_xlfn.IFNA(VLOOKUP($C51,Dulieutho,ChiTiet!M$2,FALSE),0)*$E$3,0)</f>
        <v>0</v>
      </c>
      <c r="F51" s="26">
        <f>IFERROR(_xlfn.IFNA(VLOOKUP($C51,Dulieutho,ChiTiet!N$2,FALSE),0)*$F$3,0)</f>
        <v>0</v>
      </c>
      <c r="G51" s="26">
        <f>IFERROR(_xlfn.IFNA(VLOOKUP($C51,Dulieutho,ChiTiet!O$2,FALSE),0)*$G$3,0)</f>
        <v>0</v>
      </c>
      <c r="H51" s="26">
        <f>IFERROR(_xlfn.IFNA(VLOOKUP($C51,Dulieutho,ChiTiet!P$2,FALSE),0),0)</f>
        <v>0</v>
      </c>
      <c r="I51" s="26">
        <f>IFERROR(_xlfn.IFNA(VLOOKUP($C51,Dulieutho,ChiTiet!Q$2,FALSE),0),0)</f>
        <v>0</v>
      </c>
      <c r="J51" s="26">
        <f>IFERROR(_xlfn.IFNA(VLOOKUP($C51,Dulieutho,ChiTiet!R$2,FALSE),0),0)</f>
        <v>0</v>
      </c>
      <c r="K51" s="26">
        <f>IFERROR(_xlfn.IFNA(VLOOKUP($C51,Dulieutho,ChiTiet!S$2,FALSE)*$K$3,0),0)</f>
        <v>0</v>
      </c>
      <c r="L51" s="26">
        <f>IFERROR(_xlfn.IFNA(VLOOKUP($C51,Dulieutho,ChiTiet!U$2,FALSE),0),0)</f>
        <v>0</v>
      </c>
      <c r="M51" s="26">
        <f>IFERROR(_xlfn.IFNA(VLOOKUP($C51,Dulieutho,ChiTiet!T$2,FALSE),0),0)</f>
        <v>0</v>
      </c>
      <c r="N51" s="26">
        <f>IFERROR(_xlfn.IFNA(VLOOKUP($C51,Dulieutho,ChiTiet!V$2,FALSE)*1000,0),0)</f>
        <v>0</v>
      </c>
      <c r="O51" s="26">
        <f>IFERROR(_xlfn.IFNA(VLOOKUP($C51,Dulieutho,ChiTiet!W$2,FALSE)*$O$3,0),0)</f>
        <v>0</v>
      </c>
      <c r="P51" s="26">
        <f>IFERROR(_xlfn.IFNA(VLOOKUP($C51,Dulieutho,ChiTiet!X$2,FALSE)*$P$3,0),0)</f>
        <v>0</v>
      </c>
      <c r="Q51" s="26">
        <f>IFERROR(_xlfn.IFNA(VLOOKUP($C51,Dulieutho,ChiTiet!AG$2,FALSE),0),0)</f>
        <v>0</v>
      </c>
      <c r="R51" s="26">
        <f>IFERROR(_xlfn.IFNA(VLOOKUP($C51,Dulieutho,ChiTiet!AH$2,FALSE),0),0)</f>
        <v>0</v>
      </c>
      <c r="S51" s="26">
        <f>IFERROR(_xlfn.IFNA(VLOOKUP($C51,Dulieutho,ChiTiet!AI$2,FALSE)*$S$3,0),0)</f>
        <v>0</v>
      </c>
    </row>
    <row r="52" spans="2:19" ht="15.6">
      <c r="B52" s="10" t="s">
        <v>93</v>
      </c>
      <c r="C52" s="9" t="s">
        <v>188</v>
      </c>
      <c r="D52" s="11" t="s">
        <v>189</v>
      </c>
      <c r="E52" s="26">
        <f>IFERROR(_xlfn.IFNA(VLOOKUP($C52,Dulieutho,ChiTiet!M$2,FALSE),0)*$E$3,0)</f>
        <v>500</v>
      </c>
      <c r="F52" s="26">
        <f>IFERROR(_xlfn.IFNA(VLOOKUP($C52,Dulieutho,ChiTiet!N$2,FALSE),0)*$F$3,0)</f>
        <v>2000</v>
      </c>
      <c r="G52" s="26">
        <f>IFERROR(_xlfn.IFNA(VLOOKUP($C52,Dulieutho,ChiTiet!O$2,FALSE),0)*$G$3,0)</f>
        <v>224</v>
      </c>
      <c r="H52" s="26">
        <f>IFERROR(_xlfn.IFNA(VLOOKUP($C52,Dulieutho,ChiTiet!P$2,FALSE),0),0)</f>
        <v>25</v>
      </c>
      <c r="I52" s="26">
        <f>IFERROR(_xlfn.IFNA(VLOOKUP($C52,Dulieutho,ChiTiet!Q$2,FALSE),0),0)</f>
        <v>3</v>
      </c>
      <c r="J52" s="26">
        <f>IFERROR(_xlfn.IFNA(VLOOKUP($C52,Dulieutho,ChiTiet!R$2,FALSE),0),0)</f>
        <v>6</v>
      </c>
      <c r="K52" s="26">
        <f>IFERROR(_xlfn.IFNA(VLOOKUP($C52,Dulieutho,ChiTiet!S$2,FALSE)*$K$3,0),0)</f>
        <v>324</v>
      </c>
      <c r="L52" s="26">
        <f>IFERROR(_xlfn.IFNA(VLOOKUP($C52,Dulieutho,ChiTiet!U$2,FALSE),0),0)</f>
        <v>48</v>
      </c>
      <c r="M52" s="26">
        <f>IFERROR(_xlfn.IFNA(VLOOKUP($C52,Dulieutho,ChiTiet!T$2,FALSE),0),0)</f>
        <v>0</v>
      </c>
      <c r="N52" s="26">
        <f>IFERROR(_xlfn.IFNA(VLOOKUP($C52,Dulieutho,ChiTiet!V$2,FALSE)*1000,0),0)</f>
        <v>6000</v>
      </c>
      <c r="O52" s="26">
        <f>IFERROR(_xlfn.IFNA(VLOOKUP($C52,Dulieutho,ChiTiet!W$2,FALSE)*$O$3,0),0)</f>
        <v>18000</v>
      </c>
      <c r="P52" s="26">
        <f>IFERROR(_xlfn.IFNA(VLOOKUP($C52,Dulieutho,ChiTiet!X$2,FALSE)*$P$3,0),0)</f>
        <v>0</v>
      </c>
      <c r="Q52" s="26">
        <f>IFERROR(_xlfn.IFNA(VLOOKUP($C52,Dulieutho,ChiTiet!AG$2,FALSE),0),0)</f>
        <v>2000</v>
      </c>
      <c r="R52" s="26">
        <f>IFERROR(_xlfn.IFNA(VLOOKUP($C52,Dulieutho,ChiTiet!AH$2,FALSE),0),0)</f>
        <v>0</v>
      </c>
      <c r="S52" s="26">
        <f>IFERROR(_xlfn.IFNA(VLOOKUP($C52,Dulieutho,ChiTiet!AI$2,FALSE)*$S$3,0),0)</f>
        <v>2000</v>
      </c>
    </row>
    <row r="53" spans="2:19" ht="15.6">
      <c r="B53" s="10" t="s">
        <v>93</v>
      </c>
      <c r="C53" s="9" t="s">
        <v>190</v>
      </c>
      <c r="D53" s="11" t="s">
        <v>191</v>
      </c>
      <c r="E53" s="26">
        <f>IFERROR(_xlfn.IFNA(VLOOKUP($C53,Dulieutho,ChiTiet!M$2,FALSE),0)*$E$3,0)</f>
        <v>0</v>
      </c>
      <c r="F53" s="26">
        <f>IFERROR(_xlfn.IFNA(VLOOKUP($C53,Dulieutho,ChiTiet!N$2,FALSE),0)*$F$3,0)</f>
        <v>2000</v>
      </c>
      <c r="G53" s="26">
        <f>IFERROR(_xlfn.IFNA(VLOOKUP($C53,Dulieutho,ChiTiet!O$2,FALSE),0)*$G$3,0)</f>
        <v>128</v>
      </c>
      <c r="H53" s="26">
        <f>IFERROR(_xlfn.IFNA(VLOOKUP($C53,Dulieutho,ChiTiet!P$2,FALSE),0),0)</f>
        <v>25</v>
      </c>
      <c r="I53" s="26">
        <f>IFERROR(_xlfn.IFNA(VLOOKUP($C53,Dulieutho,ChiTiet!Q$2,FALSE),0),0)</f>
        <v>10</v>
      </c>
      <c r="J53" s="26">
        <f>IFERROR(_xlfn.IFNA(VLOOKUP($C53,Dulieutho,ChiTiet!R$2,FALSE),0),0)</f>
        <v>22</v>
      </c>
      <c r="K53" s="26">
        <f>IFERROR(_xlfn.IFNA(VLOOKUP($C53,Dulieutho,ChiTiet!S$2,FALSE)*$K$3,0),0)</f>
        <v>540</v>
      </c>
      <c r="L53" s="26">
        <f>IFERROR(_xlfn.IFNA(VLOOKUP($C53,Dulieutho,ChiTiet!U$2,FALSE),0),0)</f>
        <v>48</v>
      </c>
      <c r="M53" s="26">
        <f>IFERROR(_xlfn.IFNA(VLOOKUP($C53,Dulieutho,ChiTiet!T$2,FALSE),0),0)</f>
        <v>0</v>
      </c>
      <c r="N53" s="26">
        <f>IFERROR(_xlfn.IFNA(VLOOKUP($C53,Dulieutho,ChiTiet!V$2,FALSE)*1000,0),0)</f>
        <v>10000</v>
      </c>
      <c r="O53" s="26">
        <f>IFERROR(_xlfn.IFNA(VLOOKUP($C53,Dulieutho,ChiTiet!W$2,FALSE)*$O$3,0),0)</f>
        <v>20000</v>
      </c>
      <c r="P53" s="26">
        <f>IFERROR(_xlfn.IFNA(VLOOKUP($C53,Dulieutho,ChiTiet!X$2,FALSE)*$P$3,0),0)</f>
        <v>0</v>
      </c>
      <c r="Q53" s="26">
        <f>IFERROR(_xlfn.IFNA(VLOOKUP($C53,Dulieutho,ChiTiet!AG$2,FALSE),0),0)</f>
        <v>3000</v>
      </c>
      <c r="R53" s="26">
        <f>IFERROR(_xlfn.IFNA(VLOOKUP($C53,Dulieutho,ChiTiet!AH$2,FALSE),0),0)</f>
        <v>1</v>
      </c>
      <c r="S53" s="26">
        <f>IFERROR(_xlfn.IFNA(VLOOKUP($C53,Dulieutho,ChiTiet!AI$2,FALSE)*$S$3,0),0)</f>
        <v>3000</v>
      </c>
    </row>
    <row r="54" spans="2:19" ht="15.6">
      <c r="B54" s="10" t="s">
        <v>93</v>
      </c>
      <c r="C54" s="9" t="s">
        <v>192</v>
      </c>
      <c r="D54" s="11" t="s">
        <v>193</v>
      </c>
      <c r="E54" s="26">
        <f>IFERROR(_xlfn.IFNA(VLOOKUP($C54,Dulieutho,ChiTiet!M$2,FALSE),0)*$E$3,0)</f>
        <v>1000</v>
      </c>
      <c r="F54" s="26">
        <f>IFERROR(_xlfn.IFNA(VLOOKUP($C54,Dulieutho,ChiTiet!N$2,FALSE),0)*$F$3,0)</f>
        <v>1000</v>
      </c>
      <c r="G54" s="26">
        <f>IFERROR(_xlfn.IFNA(VLOOKUP($C54,Dulieutho,ChiTiet!O$2,FALSE),0)*$G$3,0)</f>
        <v>160</v>
      </c>
      <c r="H54" s="26">
        <f>IFERROR(_xlfn.IFNA(VLOOKUP($C54,Dulieutho,ChiTiet!P$2,FALSE),0),0)</f>
        <v>50</v>
      </c>
      <c r="I54" s="26">
        <f>IFERROR(_xlfn.IFNA(VLOOKUP($C54,Dulieutho,ChiTiet!Q$2,FALSE),0),0)</f>
        <v>6</v>
      </c>
      <c r="J54" s="26">
        <f>IFERROR(_xlfn.IFNA(VLOOKUP($C54,Dulieutho,ChiTiet!R$2,FALSE),0),0)</f>
        <v>15</v>
      </c>
      <c r="K54" s="26">
        <f>IFERROR(_xlfn.IFNA(VLOOKUP($C54,Dulieutho,ChiTiet!S$2,FALSE)*$K$3,0),0)</f>
        <v>540</v>
      </c>
      <c r="L54" s="26">
        <f>IFERROR(_xlfn.IFNA(VLOOKUP($C54,Dulieutho,ChiTiet!U$2,FALSE),0),0)</f>
        <v>36</v>
      </c>
      <c r="M54" s="26">
        <f>IFERROR(_xlfn.IFNA(VLOOKUP($C54,Dulieutho,ChiTiet!T$2,FALSE),0),0)</f>
        <v>5</v>
      </c>
      <c r="N54" s="26">
        <f>IFERROR(_xlfn.IFNA(VLOOKUP($C54,Dulieutho,ChiTiet!V$2,FALSE)*1000,0),0)</f>
        <v>12000</v>
      </c>
      <c r="O54" s="26">
        <f>IFERROR(_xlfn.IFNA(VLOOKUP($C54,Dulieutho,ChiTiet!W$2,FALSE)*$O$3,0),0)</f>
        <v>17000</v>
      </c>
      <c r="P54" s="26">
        <f>IFERROR(_xlfn.IFNA(VLOOKUP($C54,Dulieutho,ChiTiet!X$2,FALSE)*$P$3,0),0)</f>
        <v>0</v>
      </c>
      <c r="Q54" s="26">
        <f>IFERROR(_xlfn.IFNA(VLOOKUP($C54,Dulieutho,ChiTiet!AG$2,FALSE),0),0)</f>
        <v>3000</v>
      </c>
      <c r="R54" s="26">
        <f>IFERROR(_xlfn.IFNA(VLOOKUP($C54,Dulieutho,ChiTiet!AH$2,FALSE),0),0)</f>
        <v>1</v>
      </c>
      <c r="S54" s="26">
        <f>IFERROR(_xlfn.IFNA(VLOOKUP($C54,Dulieutho,ChiTiet!AI$2,FALSE)*$S$3,0),0)</f>
        <v>3250</v>
      </c>
    </row>
    <row r="55" spans="2:19" ht="15.6">
      <c r="B55" s="10" t="s">
        <v>93</v>
      </c>
      <c r="C55" s="9" t="s">
        <v>194</v>
      </c>
      <c r="D55" s="11" t="s">
        <v>195</v>
      </c>
      <c r="E55" s="26">
        <f>IFERROR(_xlfn.IFNA(VLOOKUP($C55,Dulieutho,ChiTiet!M$2,FALSE),0)*$E$3,0)</f>
        <v>500</v>
      </c>
      <c r="F55" s="26">
        <f>IFERROR(_xlfn.IFNA(VLOOKUP($C55,Dulieutho,ChiTiet!N$2,FALSE),0)*$F$3,0)</f>
        <v>1000</v>
      </c>
      <c r="G55" s="26">
        <f>IFERROR(_xlfn.IFNA(VLOOKUP($C55,Dulieutho,ChiTiet!O$2,FALSE),0)*$G$3,0)</f>
        <v>128</v>
      </c>
      <c r="H55" s="26">
        <f>IFERROR(_xlfn.IFNA(VLOOKUP($C55,Dulieutho,ChiTiet!P$2,FALSE),0),0)</f>
        <v>0</v>
      </c>
      <c r="I55" s="26">
        <f>IFERROR(_xlfn.IFNA(VLOOKUP($C55,Dulieutho,ChiTiet!Q$2,FALSE),0),0)</f>
        <v>0</v>
      </c>
      <c r="J55" s="26">
        <f>IFERROR(_xlfn.IFNA(VLOOKUP($C55,Dulieutho,ChiTiet!R$2,FALSE),0),0)</f>
        <v>12.5</v>
      </c>
      <c r="K55" s="26">
        <f>IFERROR(_xlfn.IFNA(VLOOKUP($C55,Dulieutho,ChiTiet!S$2,FALSE)*$K$3,0),0)</f>
        <v>432</v>
      </c>
      <c r="L55" s="26">
        <f>IFERROR(_xlfn.IFNA(VLOOKUP($C55,Dulieutho,ChiTiet!U$2,FALSE),0),0)</f>
        <v>0</v>
      </c>
      <c r="M55" s="26">
        <f>IFERROR(_xlfn.IFNA(VLOOKUP($C55,Dulieutho,ChiTiet!T$2,FALSE),0),0)</f>
        <v>0</v>
      </c>
      <c r="N55" s="26">
        <f>IFERROR(_xlfn.IFNA(VLOOKUP($C55,Dulieutho,ChiTiet!V$2,FALSE)*1000,0),0)</f>
        <v>12000</v>
      </c>
      <c r="O55" s="26">
        <f>IFERROR(_xlfn.IFNA(VLOOKUP($C55,Dulieutho,ChiTiet!W$2,FALSE)*$O$3,0),0)</f>
        <v>15000</v>
      </c>
      <c r="P55" s="26">
        <f>IFERROR(_xlfn.IFNA(VLOOKUP($C55,Dulieutho,ChiTiet!X$2,FALSE)*$P$3,0),0)</f>
        <v>0</v>
      </c>
      <c r="Q55" s="26">
        <f>IFERROR(_xlfn.IFNA(VLOOKUP($C55,Dulieutho,ChiTiet!AG$2,FALSE),0),0)</f>
        <v>3000</v>
      </c>
      <c r="R55" s="26">
        <f>IFERROR(_xlfn.IFNA(VLOOKUP($C55,Dulieutho,ChiTiet!AH$2,FALSE),0),0)</f>
        <v>0</v>
      </c>
      <c r="S55" s="26">
        <f>IFERROR(_xlfn.IFNA(VLOOKUP($C55,Dulieutho,ChiTiet!AI$2,FALSE)*$S$3,0),0)</f>
        <v>3000</v>
      </c>
    </row>
    <row r="56" spans="2:19" ht="15.6">
      <c r="B56" s="10" t="s">
        <v>93</v>
      </c>
      <c r="C56" s="9" t="s">
        <v>196</v>
      </c>
      <c r="D56" s="11" t="s">
        <v>197</v>
      </c>
      <c r="E56" s="26">
        <f>IFERROR(_xlfn.IFNA(VLOOKUP($C56,Dulieutho,ChiTiet!M$2,FALSE),0)*$E$3,0)</f>
        <v>0</v>
      </c>
      <c r="F56" s="26">
        <f>IFERROR(_xlfn.IFNA(VLOOKUP($C56,Dulieutho,ChiTiet!N$2,FALSE),0)*$F$3,0)</f>
        <v>0</v>
      </c>
      <c r="G56" s="26">
        <f>IFERROR(_xlfn.IFNA(VLOOKUP($C56,Dulieutho,ChiTiet!O$2,FALSE),0)*$G$3,0)</f>
        <v>0</v>
      </c>
      <c r="H56" s="26">
        <f>IFERROR(_xlfn.IFNA(VLOOKUP($C56,Dulieutho,ChiTiet!P$2,FALSE),0),0)</f>
        <v>0</v>
      </c>
      <c r="I56" s="26">
        <f>IFERROR(_xlfn.IFNA(VLOOKUP($C56,Dulieutho,ChiTiet!Q$2,FALSE),0),0)</f>
        <v>0</v>
      </c>
      <c r="J56" s="26">
        <f>IFERROR(_xlfn.IFNA(VLOOKUP($C56,Dulieutho,ChiTiet!R$2,FALSE),0),0)</f>
        <v>2</v>
      </c>
      <c r="K56" s="26">
        <f>IFERROR(_xlfn.IFNA(VLOOKUP($C56,Dulieutho,ChiTiet!S$2,FALSE)*$K$3,0),0)</f>
        <v>432</v>
      </c>
      <c r="L56" s="26">
        <f>IFERROR(_xlfn.IFNA(VLOOKUP($C56,Dulieutho,ChiTiet!U$2,FALSE),0),0)</f>
        <v>0</v>
      </c>
      <c r="M56" s="26">
        <f>IFERROR(_xlfn.IFNA(VLOOKUP($C56,Dulieutho,ChiTiet!T$2,FALSE),0),0)</f>
        <v>0</v>
      </c>
      <c r="N56" s="26">
        <f>IFERROR(_xlfn.IFNA(VLOOKUP($C56,Dulieutho,ChiTiet!V$2,FALSE)*1000,0),0)</f>
        <v>4000</v>
      </c>
      <c r="O56" s="26">
        <f>IFERROR(_xlfn.IFNA(VLOOKUP($C56,Dulieutho,ChiTiet!W$2,FALSE)*$O$3,0),0)</f>
        <v>9000</v>
      </c>
      <c r="P56" s="26">
        <f>IFERROR(_xlfn.IFNA(VLOOKUP($C56,Dulieutho,ChiTiet!X$2,FALSE)*$P$3,0),0)</f>
        <v>0</v>
      </c>
      <c r="Q56" s="26">
        <f>IFERROR(_xlfn.IFNA(VLOOKUP($C56,Dulieutho,ChiTiet!AG$2,FALSE),0),0)</f>
        <v>2000</v>
      </c>
      <c r="R56" s="26">
        <f>IFERROR(_xlfn.IFNA(VLOOKUP($C56,Dulieutho,ChiTiet!AH$2,FALSE),0),0)</f>
        <v>1</v>
      </c>
      <c r="S56" s="26">
        <f>IFERROR(_xlfn.IFNA(VLOOKUP($C56,Dulieutho,ChiTiet!AI$2,FALSE)*$S$3,0),0)</f>
        <v>2000</v>
      </c>
    </row>
    <row r="57" spans="2:19" ht="15.6">
      <c r="B57" s="10" t="s">
        <v>93</v>
      </c>
      <c r="C57" s="9" t="s">
        <v>198</v>
      </c>
      <c r="D57" s="11" t="s">
        <v>199</v>
      </c>
      <c r="E57" s="26">
        <f>IFERROR(_xlfn.IFNA(VLOOKUP($C57,Dulieutho,ChiTiet!M$2,FALSE),0)*$E$3,0)</f>
        <v>500</v>
      </c>
      <c r="F57" s="26">
        <f>IFERROR(_xlfn.IFNA(VLOOKUP($C57,Dulieutho,ChiTiet!N$2,FALSE),0)*$F$3,0)</f>
        <v>1000</v>
      </c>
      <c r="G57" s="26">
        <f>IFERROR(_xlfn.IFNA(VLOOKUP($C57,Dulieutho,ChiTiet!O$2,FALSE),0)*$G$3,0)</f>
        <v>64</v>
      </c>
      <c r="H57" s="26">
        <f>IFERROR(_xlfn.IFNA(VLOOKUP($C57,Dulieutho,ChiTiet!P$2,FALSE),0),0)</f>
        <v>25</v>
      </c>
      <c r="I57" s="26">
        <f>IFERROR(_xlfn.IFNA(VLOOKUP($C57,Dulieutho,ChiTiet!Q$2,FALSE),0),0)</f>
        <v>1</v>
      </c>
      <c r="J57" s="26">
        <f>IFERROR(_xlfn.IFNA(VLOOKUP($C57,Dulieutho,ChiTiet!R$2,FALSE),0),0)</f>
        <v>1</v>
      </c>
      <c r="K57" s="26">
        <f>IFERROR(_xlfn.IFNA(VLOOKUP($C57,Dulieutho,ChiTiet!S$2,FALSE)*$K$3,0),0)</f>
        <v>432</v>
      </c>
      <c r="L57" s="26">
        <f>IFERROR(_xlfn.IFNA(VLOOKUP($C57,Dulieutho,ChiTiet!U$2,FALSE),0),0)</f>
        <v>12</v>
      </c>
      <c r="M57" s="26">
        <f>IFERROR(_xlfn.IFNA(VLOOKUP($C57,Dulieutho,ChiTiet!T$2,FALSE),0),0)</f>
        <v>1</v>
      </c>
      <c r="N57" s="26">
        <f>IFERROR(_xlfn.IFNA(VLOOKUP($C57,Dulieutho,ChiTiet!V$2,FALSE)*1000,0),0)</f>
        <v>6000</v>
      </c>
      <c r="O57" s="26">
        <f>IFERROR(_xlfn.IFNA(VLOOKUP($C57,Dulieutho,ChiTiet!W$2,FALSE)*$O$3,0),0)</f>
        <v>5000</v>
      </c>
      <c r="P57" s="26">
        <f>IFERROR(_xlfn.IFNA(VLOOKUP($C57,Dulieutho,ChiTiet!X$2,FALSE)*$P$3,0),0)</f>
        <v>0</v>
      </c>
      <c r="Q57" s="26">
        <f>IFERROR(_xlfn.IFNA(VLOOKUP($C57,Dulieutho,ChiTiet!AG$2,FALSE),0),0)</f>
        <v>0</v>
      </c>
      <c r="R57" s="26">
        <f>IFERROR(_xlfn.IFNA(VLOOKUP($C57,Dulieutho,ChiTiet!AH$2,FALSE),0),0)</f>
        <v>0</v>
      </c>
      <c r="S57" s="26">
        <f>IFERROR(_xlfn.IFNA(VLOOKUP($C57,Dulieutho,ChiTiet!AI$2,FALSE)*$S$3,0),0)</f>
        <v>0</v>
      </c>
    </row>
    <row r="58" spans="2:19" ht="15.6">
      <c r="B58" s="10" t="s">
        <v>93</v>
      </c>
      <c r="C58" s="9" t="s">
        <v>200</v>
      </c>
      <c r="D58" s="11" t="s">
        <v>201</v>
      </c>
      <c r="E58" s="26">
        <f>IFERROR(_xlfn.IFNA(VLOOKUP($C58,Dulieutho,ChiTiet!M$2,FALSE),0)*$E$3,0)</f>
        <v>0</v>
      </c>
      <c r="F58" s="26">
        <f>IFERROR(_xlfn.IFNA(VLOOKUP($C58,Dulieutho,ChiTiet!N$2,FALSE),0)*$F$3,0)</f>
        <v>1000</v>
      </c>
      <c r="G58" s="26">
        <f>IFERROR(_xlfn.IFNA(VLOOKUP($C58,Dulieutho,ChiTiet!O$2,FALSE),0)*$G$3,0)</f>
        <v>0</v>
      </c>
      <c r="H58" s="26">
        <f>IFERROR(_xlfn.IFNA(VLOOKUP($C58,Dulieutho,ChiTiet!P$2,FALSE),0),0)</f>
        <v>0</v>
      </c>
      <c r="I58" s="26">
        <f>IFERROR(_xlfn.IFNA(VLOOKUP($C58,Dulieutho,ChiTiet!Q$2,FALSE),0),0)</f>
        <v>1</v>
      </c>
      <c r="J58" s="26">
        <f>IFERROR(_xlfn.IFNA(VLOOKUP($C58,Dulieutho,ChiTiet!R$2,FALSE),0),0)</f>
        <v>7</v>
      </c>
      <c r="K58" s="26">
        <f>IFERROR(_xlfn.IFNA(VLOOKUP($C58,Dulieutho,ChiTiet!S$2,FALSE)*$K$3,0),0)</f>
        <v>324</v>
      </c>
      <c r="L58" s="26">
        <f>IFERROR(_xlfn.IFNA(VLOOKUP($C58,Dulieutho,ChiTiet!U$2,FALSE),0),0)</f>
        <v>24</v>
      </c>
      <c r="M58" s="26">
        <f>IFERROR(_xlfn.IFNA(VLOOKUP($C58,Dulieutho,ChiTiet!T$2,FALSE),0),0)</f>
        <v>2</v>
      </c>
      <c r="N58" s="26">
        <f>IFERROR(_xlfn.IFNA(VLOOKUP($C58,Dulieutho,ChiTiet!V$2,FALSE)*1000,0),0)</f>
        <v>8000</v>
      </c>
      <c r="O58" s="26">
        <f>IFERROR(_xlfn.IFNA(VLOOKUP($C58,Dulieutho,ChiTiet!W$2,FALSE)*$O$3,0),0)</f>
        <v>7000</v>
      </c>
      <c r="P58" s="26">
        <f>IFERROR(_xlfn.IFNA(VLOOKUP($C58,Dulieutho,ChiTiet!X$2,FALSE)*$P$3,0),0)</f>
        <v>0</v>
      </c>
      <c r="Q58" s="26">
        <f>IFERROR(_xlfn.IFNA(VLOOKUP($C58,Dulieutho,ChiTiet!AG$2,FALSE),0),0)</f>
        <v>2000</v>
      </c>
      <c r="R58" s="26">
        <f>IFERROR(_xlfn.IFNA(VLOOKUP($C58,Dulieutho,ChiTiet!AH$2,FALSE),0),0)</f>
        <v>1</v>
      </c>
      <c r="S58" s="26">
        <f>IFERROR(_xlfn.IFNA(VLOOKUP($C58,Dulieutho,ChiTiet!AI$2,FALSE)*$S$3,0),0)</f>
        <v>2000</v>
      </c>
    </row>
    <row r="59" spans="2:19" ht="15.6">
      <c r="B59" s="10" t="s">
        <v>93</v>
      </c>
      <c r="C59" s="9" t="s">
        <v>202</v>
      </c>
      <c r="D59" s="11" t="s">
        <v>203</v>
      </c>
      <c r="E59" s="26">
        <f>IFERROR(_xlfn.IFNA(VLOOKUP($C59,Dulieutho,ChiTiet!M$2,FALSE),0)*$E$3,0)</f>
        <v>500</v>
      </c>
      <c r="F59" s="26">
        <f>IFERROR(_xlfn.IFNA(VLOOKUP($C59,Dulieutho,ChiTiet!N$2,FALSE),0)*$F$3,0)</f>
        <v>1000</v>
      </c>
      <c r="G59" s="26">
        <f>IFERROR(_xlfn.IFNA(VLOOKUP($C59,Dulieutho,ChiTiet!O$2,FALSE),0)*$G$3,0)</f>
        <v>64</v>
      </c>
      <c r="H59" s="26">
        <f>IFERROR(_xlfn.IFNA(VLOOKUP($C59,Dulieutho,ChiTiet!P$2,FALSE),0),0)</f>
        <v>0</v>
      </c>
      <c r="I59" s="26">
        <f>IFERROR(_xlfn.IFNA(VLOOKUP($C59,Dulieutho,ChiTiet!Q$2,FALSE),0),0)</f>
        <v>3</v>
      </c>
      <c r="J59" s="26">
        <f>IFERROR(_xlfn.IFNA(VLOOKUP($C59,Dulieutho,ChiTiet!R$2,FALSE),0),0)</f>
        <v>8</v>
      </c>
      <c r="K59" s="26">
        <f>IFERROR(_xlfn.IFNA(VLOOKUP($C59,Dulieutho,ChiTiet!S$2,FALSE)*$K$3,0),0)</f>
        <v>648</v>
      </c>
      <c r="L59" s="26">
        <f>IFERROR(_xlfn.IFNA(VLOOKUP($C59,Dulieutho,ChiTiet!U$2,FALSE),0),0)</f>
        <v>24</v>
      </c>
      <c r="M59" s="26">
        <f>IFERROR(_xlfn.IFNA(VLOOKUP($C59,Dulieutho,ChiTiet!T$2,FALSE),0),0)</f>
        <v>0</v>
      </c>
      <c r="N59" s="26">
        <f>IFERROR(_xlfn.IFNA(VLOOKUP($C59,Dulieutho,ChiTiet!V$2,FALSE)*1000,0),0)</f>
        <v>10000</v>
      </c>
      <c r="O59" s="26">
        <f>IFERROR(_xlfn.IFNA(VLOOKUP($C59,Dulieutho,ChiTiet!W$2,FALSE)*$O$3,0),0)</f>
        <v>10000</v>
      </c>
      <c r="P59" s="26">
        <f>IFERROR(_xlfn.IFNA(VLOOKUP($C59,Dulieutho,ChiTiet!X$2,FALSE)*$P$3,0),0)</f>
        <v>0</v>
      </c>
      <c r="Q59" s="26">
        <f>IFERROR(_xlfn.IFNA(VLOOKUP($C59,Dulieutho,ChiTiet!AG$2,FALSE),0),0)</f>
        <v>2000</v>
      </c>
      <c r="R59" s="26">
        <f>IFERROR(_xlfn.IFNA(VLOOKUP($C59,Dulieutho,ChiTiet!AH$2,FALSE),0),0)</f>
        <v>1</v>
      </c>
      <c r="S59" s="26">
        <f>IFERROR(_xlfn.IFNA(VLOOKUP($C59,Dulieutho,ChiTiet!AI$2,FALSE)*$S$3,0),0)</f>
        <v>2000</v>
      </c>
    </row>
    <row r="60" spans="2:19" ht="15.6">
      <c r="B60" s="10" t="s">
        <v>93</v>
      </c>
      <c r="C60" s="9" t="s">
        <v>204</v>
      </c>
      <c r="D60" s="11" t="s">
        <v>205</v>
      </c>
      <c r="E60" s="26">
        <f>IFERROR(_xlfn.IFNA(VLOOKUP($C60,Dulieutho,ChiTiet!M$2,FALSE),0)*$E$3,0)</f>
        <v>0</v>
      </c>
      <c r="F60" s="26">
        <f>IFERROR(_xlfn.IFNA(VLOOKUP($C60,Dulieutho,ChiTiet!N$2,FALSE),0)*$F$3,0)</f>
        <v>1000</v>
      </c>
      <c r="G60" s="26">
        <f>IFERROR(_xlfn.IFNA(VLOOKUP($C60,Dulieutho,ChiTiet!O$2,FALSE),0)*$G$3,0)</f>
        <v>96</v>
      </c>
      <c r="H60" s="26">
        <f>IFERROR(_xlfn.IFNA(VLOOKUP($C60,Dulieutho,ChiTiet!P$2,FALSE),0),0)</f>
        <v>0</v>
      </c>
      <c r="I60" s="26">
        <f>IFERROR(_xlfn.IFNA(VLOOKUP($C60,Dulieutho,ChiTiet!Q$2,FALSE),0),0)</f>
        <v>2</v>
      </c>
      <c r="J60" s="26">
        <f>IFERROR(_xlfn.IFNA(VLOOKUP($C60,Dulieutho,ChiTiet!R$2,FALSE),0),0)</f>
        <v>4</v>
      </c>
      <c r="K60" s="26">
        <f>IFERROR(_xlfn.IFNA(VLOOKUP($C60,Dulieutho,ChiTiet!S$2,FALSE)*$K$3,0),0)</f>
        <v>756</v>
      </c>
      <c r="L60" s="26">
        <f>IFERROR(_xlfn.IFNA(VLOOKUP($C60,Dulieutho,ChiTiet!U$2,FALSE),0),0)</f>
        <v>12</v>
      </c>
      <c r="M60" s="26">
        <f>IFERROR(_xlfn.IFNA(VLOOKUP($C60,Dulieutho,ChiTiet!T$2,FALSE),0),0)</f>
        <v>3</v>
      </c>
      <c r="N60" s="26">
        <f>IFERROR(_xlfn.IFNA(VLOOKUP($C60,Dulieutho,ChiTiet!V$2,FALSE)*1000,0),0)</f>
        <v>8000</v>
      </c>
      <c r="O60" s="26">
        <f>IFERROR(_xlfn.IFNA(VLOOKUP($C60,Dulieutho,ChiTiet!W$2,FALSE)*$O$3,0),0)</f>
        <v>9000</v>
      </c>
      <c r="P60" s="26">
        <f>IFERROR(_xlfn.IFNA(VLOOKUP($C60,Dulieutho,ChiTiet!X$2,FALSE)*$P$3,0),0)</f>
        <v>0</v>
      </c>
      <c r="Q60" s="26">
        <f>IFERROR(_xlfn.IFNA(VLOOKUP($C60,Dulieutho,ChiTiet!AG$2,FALSE),0),0)</f>
        <v>2000</v>
      </c>
      <c r="R60" s="26">
        <f>IFERROR(_xlfn.IFNA(VLOOKUP($C60,Dulieutho,ChiTiet!AH$2,FALSE),0),0)</f>
        <v>0</v>
      </c>
      <c r="S60" s="26">
        <f>IFERROR(_xlfn.IFNA(VLOOKUP($C60,Dulieutho,ChiTiet!AI$2,FALSE)*$S$3,0),0)</f>
        <v>2000</v>
      </c>
    </row>
    <row r="61" spans="2:19" ht="15.6">
      <c r="B61" s="10" t="s">
        <v>93</v>
      </c>
      <c r="C61" s="9" t="s">
        <v>206</v>
      </c>
      <c r="D61" s="11" t="s">
        <v>207</v>
      </c>
      <c r="E61" s="26">
        <f>IFERROR(_xlfn.IFNA(VLOOKUP($C61,Dulieutho,ChiTiet!M$2,FALSE),0)*$E$3,0)</f>
        <v>0</v>
      </c>
      <c r="F61" s="26">
        <f>IFERROR(_xlfn.IFNA(VLOOKUP($C61,Dulieutho,ChiTiet!N$2,FALSE),0)*$F$3,0)</f>
        <v>1000</v>
      </c>
      <c r="G61" s="26">
        <f>IFERROR(_xlfn.IFNA(VLOOKUP($C61,Dulieutho,ChiTiet!O$2,FALSE),0)*$G$3,0)</f>
        <v>64</v>
      </c>
      <c r="H61" s="26">
        <f>IFERROR(_xlfn.IFNA(VLOOKUP($C61,Dulieutho,ChiTiet!P$2,FALSE),0),0)</f>
        <v>25</v>
      </c>
      <c r="I61" s="26">
        <f>IFERROR(_xlfn.IFNA(VLOOKUP($C61,Dulieutho,ChiTiet!Q$2,FALSE),0),0)</f>
        <v>2</v>
      </c>
      <c r="J61" s="26">
        <f>IFERROR(_xlfn.IFNA(VLOOKUP($C61,Dulieutho,ChiTiet!R$2,FALSE),0),0)</f>
        <v>4</v>
      </c>
      <c r="K61" s="26">
        <f>IFERROR(_xlfn.IFNA(VLOOKUP($C61,Dulieutho,ChiTiet!S$2,FALSE)*$K$3,0),0)</f>
        <v>324</v>
      </c>
      <c r="L61" s="26">
        <f>IFERROR(_xlfn.IFNA(VLOOKUP($C61,Dulieutho,ChiTiet!U$2,FALSE),0),0)</f>
        <v>0</v>
      </c>
      <c r="M61" s="26">
        <f>IFERROR(_xlfn.IFNA(VLOOKUP($C61,Dulieutho,ChiTiet!T$2,FALSE),0),0)</f>
        <v>1</v>
      </c>
      <c r="N61" s="26">
        <f>IFERROR(_xlfn.IFNA(VLOOKUP($C61,Dulieutho,ChiTiet!V$2,FALSE)*1000,0),0)</f>
        <v>8000</v>
      </c>
      <c r="O61" s="26">
        <f>IFERROR(_xlfn.IFNA(VLOOKUP($C61,Dulieutho,ChiTiet!W$2,FALSE)*$O$3,0),0)</f>
        <v>5000</v>
      </c>
      <c r="P61" s="26">
        <f>IFERROR(_xlfn.IFNA(VLOOKUP($C61,Dulieutho,ChiTiet!X$2,FALSE)*$P$3,0),0)</f>
        <v>0</v>
      </c>
      <c r="Q61" s="26">
        <f>IFERROR(_xlfn.IFNA(VLOOKUP($C61,Dulieutho,ChiTiet!AG$2,FALSE),0),0)</f>
        <v>1000</v>
      </c>
      <c r="R61" s="26">
        <f>IFERROR(_xlfn.IFNA(VLOOKUP($C61,Dulieutho,ChiTiet!AH$2,FALSE),0),0)</f>
        <v>0</v>
      </c>
      <c r="S61" s="26">
        <f>IFERROR(_xlfn.IFNA(VLOOKUP($C61,Dulieutho,ChiTiet!AI$2,FALSE)*$S$3,0),0)</f>
        <v>1000</v>
      </c>
    </row>
    <row r="62" spans="2:19" ht="15.6">
      <c r="B62" s="10" t="s">
        <v>93</v>
      </c>
      <c r="C62" s="9" t="s">
        <v>208</v>
      </c>
      <c r="D62" s="11" t="s">
        <v>209</v>
      </c>
      <c r="E62" s="26">
        <f>IFERROR(_xlfn.IFNA(VLOOKUP($C62,Dulieutho,ChiTiet!M$2,FALSE),0)*$E$3,0)</f>
        <v>0</v>
      </c>
      <c r="F62" s="26">
        <f>IFERROR(_xlfn.IFNA(VLOOKUP($C62,Dulieutho,ChiTiet!N$2,FALSE),0)*$F$3,0)</f>
        <v>1000</v>
      </c>
      <c r="G62" s="26">
        <f>IFERROR(_xlfn.IFNA(VLOOKUP($C62,Dulieutho,ChiTiet!O$2,FALSE),0)*$G$3,0)</f>
        <v>32</v>
      </c>
      <c r="H62" s="26">
        <f>IFERROR(_xlfn.IFNA(VLOOKUP($C62,Dulieutho,ChiTiet!P$2,FALSE),0),0)</f>
        <v>0</v>
      </c>
      <c r="I62" s="26">
        <f>IFERROR(_xlfn.IFNA(VLOOKUP($C62,Dulieutho,ChiTiet!Q$2,FALSE),0),0)</f>
        <v>1</v>
      </c>
      <c r="J62" s="26">
        <f>IFERROR(_xlfn.IFNA(VLOOKUP($C62,Dulieutho,ChiTiet!R$2,FALSE),0),0)</f>
        <v>7</v>
      </c>
      <c r="K62" s="26">
        <f>IFERROR(_xlfn.IFNA(VLOOKUP($C62,Dulieutho,ChiTiet!S$2,FALSE)*$K$3,0),0)</f>
        <v>1080</v>
      </c>
      <c r="L62" s="26">
        <f>IFERROR(_xlfn.IFNA(VLOOKUP($C62,Dulieutho,ChiTiet!U$2,FALSE),0),0)</f>
        <v>12</v>
      </c>
      <c r="M62" s="26">
        <f>IFERROR(_xlfn.IFNA(VLOOKUP($C62,Dulieutho,ChiTiet!T$2,FALSE),0),0)</f>
        <v>5</v>
      </c>
      <c r="N62" s="26">
        <f>IFERROR(_xlfn.IFNA(VLOOKUP($C62,Dulieutho,ChiTiet!V$2,FALSE)*1000,0),0)</f>
        <v>12000</v>
      </c>
      <c r="O62" s="26">
        <f>IFERROR(_xlfn.IFNA(VLOOKUP($C62,Dulieutho,ChiTiet!W$2,FALSE)*$O$3,0),0)</f>
        <v>7000</v>
      </c>
      <c r="P62" s="26">
        <f>IFERROR(_xlfn.IFNA(VLOOKUP($C62,Dulieutho,ChiTiet!X$2,FALSE)*$P$3,0),0)</f>
        <v>0</v>
      </c>
      <c r="Q62" s="26">
        <f>IFERROR(_xlfn.IFNA(VLOOKUP($C62,Dulieutho,ChiTiet!AG$2,FALSE),0),0)</f>
        <v>2000</v>
      </c>
      <c r="R62" s="26">
        <f>IFERROR(_xlfn.IFNA(VLOOKUP($C62,Dulieutho,ChiTiet!AH$2,FALSE),0),0)</f>
        <v>1</v>
      </c>
      <c r="S62" s="26">
        <f>IFERROR(_xlfn.IFNA(VLOOKUP($C62,Dulieutho,ChiTiet!AI$2,FALSE)*$S$3,0),0)</f>
        <v>2000</v>
      </c>
    </row>
    <row r="63" spans="2:19" ht="15.6">
      <c r="B63" s="10" t="s">
        <v>93</v>
      </c>
      <c r="C63" s="9" t="s">
        <v>210</v>
      </c>
      <c r="D63" s="11" t="s">
        <v>211</v>
      </c>
      <c r="E63" s="26">
        <f>IFERROR(_xlfn.IFNA(VLOOKUP($C63,Dulieutho,ChiTiet!M$2,FALSE),0)*$E$3,0)</f>
        <v>1000</v>
      </c>
      <c r="F63" s="26">
        <f>IFERROR(_xlfn.IFNA(VLOOKUP($C63,Dulieutho,ChiTiet!N$2,FALSE),0)*$F$3,0)</f>
        <v>0</v>
      </c>
      <c r="G63" s="26">
        <f>IFERROR(_xlfn.IFNA(VLOOKUP($C63,Dulieutho,ChiTiet!O$2,FALSE),0)*$G$3,0)</f>
        <v>128</v>
      </c>
      <c r="H63" s="26">
        <f>IFERROR(_xlfn.IFNA(VLOOKUP($C63,Dulieutho,ChiTiet!P$2,FALSE),0),0)</f>
        <v>25</v>
      </c>
      <c r="I63" s="26">
        <f>IFERROR(_xlfn.IFNA(VLOOKUP($C63,Dulieutho,ChiTiet!Q$2,FALSE),0),0)</f>
        <v>4</v>
      </c>
      <c r="J63" s="26">
        <f>IFERROR(_xlfn.IFNA(VLOOKUP($C63,Dulieutho,ChiTiet!R$2,FALSE),0),0)</f>
        <v>33</v>
      </c>
      <c r="K63" s="26">
        <f>IFERROR(_xlfn.IFNA(VLOOKUP($C63,Dulieutho,ChiTiet!S$2,FALSE)*$K$3,0),0)</f>
        <v>864</v>
      </c>
      <c r="L63" s="26">
        <f>IFERROR(_xlfn.IFNA(VLOOKUP($C63,Dulieutho,ChiTiet!U$2,FALSE),0),0)</f>
        <v>0</v>
      </c>
      <c r="M63" s="26">
        <f>IFERROR(_xlfn.IFNA(VLOOKUP($C63,Dulieutho,ChiTiet!T$2,FALSE),0),0)</f>
        <v>8</v>
      </c>
      <c r="N63" s="26">
        <f>IFERROR(_xlfn.IFNA(VLOOKUP($C63,Dulieutho,ChiTiet!V$2,FALSE)*1000,0),0)</f>
        <v>14000</v>
      </c>
      <c r="O63" s="26">
        <f>IFERROR(_xlfn.IFNA(VLOOKUP($C63,Dulieutho,ChiTiet!W$2,FALSE)*$O$3,0),0)</f>
        <v>14000</v>
      </c>
      <c r="P63" s="26">
        <f>IFERROR(_xlfn.IFNA(VLOOKUP($C63,Dulieutho,ChiTiet!X$2,FALSE)*$P$3,0),0)</f>
        <v>1500</v>
      </c>
      <c r="Q63" s="26">
        <f>IFERROR(_xlfn.IFNA(VLOOKUP($C63,Dulieutho,ChiTiet!AG$2,FALSE),0),0)</f>
        <v>2000</v>
      </c>
      <c r="R63" s="26">
        <f>IFERROR(_xlfn.IFNA(VLOOKUP($C63,Dulieutho,ChiTiet!AH$2,FALSE),0),0)</f>
        <v>0</v>
      </c>
      <c r="S63" s="26">
        <f>IFERROR(_xlfn.IFNA(VLOOKUP($C63,Dulieutho,ChiTiet!AI$2,FALSE)*$S$3,0),0)</f>
        <v>2000</v>
      </c>
    </row>
    <row r="64" spans="2:19" ht="15.6">
      <c r="B64" s="10" t="s">
        <v>93</v>
      </c>
      <c r="C64" s="9" t="s">
        <v>212</v>
      </c>
      <c r="D64" s="11" t="s">
        <v>213</v>
      </c>
      <c r="E64" s="26">
        <f>IFERROR(_xlfn.IFNA(VLOOKUP($C64,Dulieutho,ChiTiet!M$2,FALSE),0)*$E$3,0)</f>
        <v>500</v>
      </c>
      <c r="F64" s="26">
        <f>IFERROR(_xlfn.IFNA(VLOOKUP($C64,Dulieutho,ChiTiet!N$2,FALSE),0)*$F$3,0)</f>
        <v>2000</v>
      </c>
      <c r="G64" s="26">
        <f>IFERROR(_xlfn.IFNA(VLOOKUP($C64,Dulieutho,ChiTiet!O$2,FALSE),0)*$G$3,0)</f>
        <v>128</v>
      </c>
      <c r="H64" s="26">
        <f>IFERROR(_xlfn.IFNA(VLOOKUP($C64,Dulieutho,ChiTiet!P$2,FALSE),0),0)</f>
        <v>25</v>
      </c>
      <c r="I64" s="26">
        <f>IFERROR(_xlfn.IFNA(VLOOKUP($C64,Dulieutho,ChiTiet!Q$2,FALSE),0),0)</f>
        <v>3</v>
      </c>
      <c r="J64" s="26">
        <f>IFERROR(_xlfn.IFNA(VLOOKUP($C64,Dulieutho,ChiTiet!R$2,FALSE),0),0)</f>
        <v>9</v>
      </c>
      <c r="K64" s="26">
        <f>IFERROR(_xlfn.IFNA(VLOOKUP($C64,Dulieutho,ChiTiet!S$2,FALSE)*$K$3,0),0)</f>
        <v>216</v>
      </c>
      <c r="L64" s="26">
        <f>IFERROR(_xlfn.IFNA(VLOOKUP($C64,Dulieutho,ChiTiet!U$2,FALSE),0),0)</f>
        <v>24</v>
      </c>
      <c r="M64" s="26">
        <f>IFERROR(_xlfn.IFNA(VLOOKUP($C64,Dulieutho,ChiTiet!T$2,FALSE),0),0)</f>
        <v>4</v>
      </c>
      <c r="N64" s="26">
        <f>IFERROR(_xlfn.IFNA(VLOOKUP($C64,Dulieutho,ChiTiet!V$2,FALSE)*1000,0),0)</f>
        <v>14000</v>
      </c>
      <c r="O64" s="26">
        <f>IFERROR(_xlfn.IFNA(VLOOKUP($C64,Dulieutho,ChiTiet!W$2,FALSE)*$O$3,0),0)</f>
        <v>5000</v>
      </c>
      <c r="P64" s="26">
        <f>IFERROR(_xlfn.IFNA(VLOOKUP($C64,Dulieutho,ChiTiet!X$2,FALSE)*$P$3,0),0)</f>
        <v>500</v>
      </c>
      <c r="Q64" s="26">
        <f>IFERROR(_xlfn.IFNA(VLOOKUP($C64,Dulieutho,ChiTiet!AG$2,FALSE),0),0)</f>
        <v>1000</v>
      </c>
      <c r="R64" s="26">
        <f>IFERROR(_xlfn.IFNA(VLOOKUP($C64,Dulieutho,ChiTiet!AH$2,FALSE),0),0)</f>
        <v>0</v>
      </c>
      <c r="S64" s="26">
        <f>IFERROR(_xlfn.IFNA(VLOOKUP($C64,Dulieutho,ChiTiet!AI$2,FALSE)*$S$3,0),0)</f>
        <v>1000</v>
      </c>
    </row>
    <row r="65" spans="2:19" ht="15.6">
      <c r="B65" s="10" t="s">
        <v>93</v>
      </c>
      <c r="C65" s="9" t="s">
        <v>214</v>
      </c>
      <c r="D65" s="11" t="s">
        <v>215</v>
      </c>
      <c r="E65" s="26">
        <f>IFERROR(_xlfn.IFNA(VLOOKUP($C65,Dulieutho,ChiTiet!M$2,FALSE),0)*$E$3,0)</f>
        <v>0</v>
      </c>
      <c r="F65" s="26">
        <f>IFERROR(_xlfn.IFNA(VLOOKUP($C65,Dulieutho,ChiTiet!N$2,FALSE),0)*$F$3,0)</f>
        <v>0</v>
      </c>
      <c r="G65" s="26">
        <f>IFERROR(_xlfn.IFNA(VLOOKUP($C65,Dulieutho,ChiTiet!O$2,FALSE),0)*$G$3,0)</f>
        <v>32</v>
      </c>
      <c r="H65" s="26">
        <f>IFERROR(_xlfn.IFNA(VLOOKUP($C65,Dulieutho,ChiTiet!P$2,FALSE),0),0)</f>
        <v>0</v>
      </c>
      <c r="I65" s="26">
        <f>IFERROR(_xlfn.IFNA(VLOOKUP($C65,Dulieutho,ChiTiet!Q$2,FALSE),0),0)</f>
        <v>3</v>
      </c>
      <c r="J65" s="26">
        <f>IFERROR(_xlfn.IFNA(VLOOKUP($C65,Dulieutho,ChiTiet!R$2,FALSE),0),0)</f>
        <v>6</v>
      </c>
      <c r="K65" s="26">
        <f>IFERROR(_xlfn.IFNA(VLOOKUP($C65,Dulieutho,ChiTiet!S$2,FALSE)*$K$3,0),0)</f>
        <v>216</v>
      </c>
      <c r="L65" s="26">
        <f>IFERROR(_xlfn.IFNA(VLOOKUP($C65,Dulieutho,ChiTiet!U$2,FALSE),0),0)</f>
        <v>12</v>
      </c>
      <c r="M65" s="26">
        <f>IFERROR(_xlfn.IFNA(VLOOKUP($C65,Dulieutho,ChiTiet!T$2,FALSE),0),0)</f>
        <v>0</v>
      </c>
      <c r="N65" s="26">
        <f>IFERROR(_xlfn.IFNA(VLOOKUP($C65,Dulieutho,ChiTiet!V$2,FALSE)*1000,0),0)</f>
        <v>8000</v>
      </c>
      <c r="O65" s="26">
        <f>IFERROR(_xlfn.IFNA(VLOOKUP($C65,Dulieutho,ChiTiet!W$2,FALSE)*$O$3,0),0)</f>
        <v>2000</v>
      </c>
      <c r="P65" s="26">
        <f>IFERROR(_xlfn.IFNA(VLOOKUP($C65,Dulieutho,ChiTiet!X$2,FALSE)*$P$3,0),0)</f>
        <v>0</v>
      </c>
      <c r="Q65" s="26">
        <f>IFERROR(_xlfn.IFNA(VLOOKUP($C65,Dulieutho,ChiTiet!AG$2,FALSE),0),0)</f>
        <v>1000</v>
      </c>
      <c r="R65" s="26">
        <f>IFERROR(_xlfn.IFNA(VLOOKUP($C65,Dulieutho,ChiTiet!AH$2,FALSE),0),0)</f>
        <v>0</v>
      </c>
      <c r="S65" s="26">
        <f>IFERROR(_xlfn.IFNA(VLOOKUP($C65,Dulieutho,ChiTiet!AI$2,FALSE)*$S$3,0),0)</f>
        <v>1000</v>
      </c>
    </row>
    <row r="66" spans="2:19" ht="15.6">
      <c r="B66" s="10" t="s">
        <v>93</v>
      </c>
      <c r="C66" s="9" t="s">
        <v>216</v>
      </c>
      <c r="D66" s="11" t="s">
        <v>217</v>
      </c>
      <c r="E66" s="26">
        <f>IFERROR(_xlfn.IFNA(VLOOKUP($C66,Dulieutho,ChiTiet!M$2,FALSE),0)*$E$3,0)</f>
        <v>1000</v>
      </c>
      <c r="F66" s="26">
        <f>IFERROR(_xlfn.IFNA(VLOOKUP($C66,Dulieutho,ChiTiet!N$2,FALSE),0)*$F$3,0)</f>
        <v>0</v>
      </c>
      <c r="G66" s="26">
        <f>IFERROR(_xlfn.IFNA(VLOOKUP($C66,Dulieutho,ChiTiet!O$2,FALSE),0)*$G$3,0)</f>
        <v>160</v>
      </c>
      <c r="H66" s="26">
        <f>IFERROR(_xlfn.IFNA(VLOOKUP($C66,Dulieutho,ChiTiet!P$2,FALSE),0),0)</f>
        <v>0</v>
      </c>
      <c r="I66" s="26">
        <f>IFERROR(_xlfn.IFNA(VLOOKUP($C66,Dulieutho,ChiTiet!Q$2,FALSE),0),0)</f>
        <v>5</v>
      </c>
      <c r="J66" s="26">
        <f>IFERROR(_xlfn.IFNA(VLOOKUP($C66,Dulieutho,ChiTiet!R$2,FALSE),0),0)</f>
        <v>10</v>
      </c>
      <c r="K66" s="26">
        <f>IFERROR(_xlfn.IFNA(VLOOKUP($C66,Dulieutho,ChiTiet!S$2,FALSE)*$K$3,0),0)</f>
        <v>648</v>
      </c>
      <c r="L66" s="26">
        <f>IFERROR(_xlfn.IFNA(VLOOKUP($C66,Dulieutho,ChiTiet!U$2,FALSE),0),0)</f>
        <v>12</v>
      </c>
      <c r="M66" s="26">
        <f>IFERROR(_xlfn.IFNA(VLOOKUP($C66,Dulieutho,ChiTiet!T$2,FALSE),0),0)</f>
        <v>1</v>
      </c>
      <c r="N66" s="26">
        <f>IFERROR(_xlfn.IFNA(VLOOKUP($C66,Dulieutho,ChiTiet!V$2,FALSE)*1000,0),0)</f>
        <v>16000</v>
      </c>
      <c r="O66" s="26">
        <f>IFERROR(_xlfn.IFNA(VLOOKUP($C66,Dulieutho,ChiTiet!W$2,FALSE)*$O$3,0),0)</f>
        <v>13000</v>
      </c>
      <c r="P66" s="26">
        <f>IFERROR(_xlfn.IFNA(VLOOKUP($C66,Dulieutho,ChiTiet!X$2,FALSE)*$P$3,0),0)</f>
        <v>0</v>
      </c>
      <c r="Q66" s="26">
        <f>IFERROR(_xlfn.IFNA(VLOOKUP($C66,Dulieutho,ChiTiet!AG$2,FALSE),0),0)</f>
        <v>3000</v>
      </c>
      <c r="R66" s="26">
        <f>IFERROR(_xlfn.IFNA(VLOOKUP($C66,Dulieutho,ChiTiet!AH$2,FALSE),0),0)</f>
        <v>1</v>
      </c>
      <c r="S66" s="26">
        <f>IFERROR(_xlfn.IFNA(VLOOKUP($C66,Dulieutho,ChiTiet!AI$2,FALSE)*$S$3,0),0)</f>
        <v>3000</v>
      </c>
    </row>
    <row r="67" spans="2:19" ht="15.6">
      <c r="B67" s="10" t="s">
        <v>219</v>
      </c>
      <c r="C67" s="9" t="s">
        <v>218</v>
      </c>
      <c r="D67" s="11" t="s">
        <v>220</v>
      </c>
      <c r="E67" s="26">
        <f>IFERROR(_xlfn.IFNA(VLOOKUP($C67,Dulieutho,ChiTiet!M$2,FALSE),0)*$E$3,0)</f>
        <v>0</v>
      </c>
      <c r="F67" s="26">
        <f>IFERROR(_xlfn.IFNA(VLOOKUP($C67,Dulieutho,ChiTiet!N$2,FALSE),0)*$F$3,0)</f>
        <v>1000</v>
      </c>
      <c r="G67" s="26">
        <f>IFERROR(_xlfn.IFNA(VLOOKUP($C67,Dulieutho,ChiTiet!O$2,FALSE),0)*$G$3,0)</f>
        <v>96</v>
      </c>
      <c r="H67" s="26">
        <f>IFERROR(_xlfn.IFNA(VLOOKUP($C67,Dulieutho,ChiTiet!P$2,FALSE),0),0)</f>
        <v>25</v>
      </c>
      <c r="I67" s="26">
        <f>IFERROR(_xlfn.IFNA(VLOOKUP($C67,Dulieutho,ChiTiet!Q$2,FALSE),0),0)</f>
        <v>2</v>
      </c>
      <c r="J67" s="26">
        <f>IFERROR(_xlfn.IFNA(VLOOKUP($C67,Dulieutho,ChiTiet!R$2,FALSE),0),0)</f>
        <v>9.5</v>
      </c>
      <c r="K67" s="26">
        <f>IFERROR(_xlfn.IFNA(VLOOKUP($C67,Dulieutho,ChiTiet!S$2,FALSE)*$K$3,0),0)</f>
        <v>432</v>
      </c>
      <c r="L67" s="26">
        <f>IFERROR(_xlfn.IFNA(VLOOKUP($C67,Dulieutho,ChiTiet!U$2,FALSE),0),0)</f>
        <v>0</v>
      </c>
      <c r="M67" s="26">
        <f>IFERROR(_xlfn.IFNA(VLOOKUP($C67,Dulieutho,ChiTiet!T$2,FALSE),0),0)</f>
        <v>3</v>
      </c>
      <c r="N67" s="26">
        <f>IFERROR(_xlfn.IFNA(VLOOKUP($C67,Dulieutho,ChiTiet!V$2,FALSE)*1000,0),0)</f>
        <v>10000</v>
      </c>
      <c r="O67" s="26">
        <f>IFERROR(_xlfn.IFNA(VLOOKUP($C67,Dulieutho,ChiTiet!W$2,FALSE)*$O$3,0),0)</f>
        <v>5000</v>
      </c>
      <c r="P67" s="26">
        <f>IFERROR(_xlfn.IFNA(VLOOKUP($C67,Dulieutho,ChiTiet!X$2,FALSE)*$P$3,0),0)</f>
        <v>500</v>
      </c>
      <c r="Q67" s="26">
        <f>IFERROR(_xlfn.IFNA(VLOOKUP($C67,Dulieutho,ChiTiet!AG$2,FALSE),0),0)</f>
        <v>1000</v>
      </c>
      <c r="R67" s="26">
        <f>IFERROR(_xlfn.IFNA(VLOOKUP($C67,Dulieutho,ChiTiet!AH$2,FALSE),0),0)</f>
        <v>0</v>
      </c>
      <c r="S67" s="26">
        <f>IFERROR(_xlfn.IFNA(VLOOKUP($C67,Dulieutho,ChiTiet!AI$2,FALSE)*$S$3,0),0)</f>
        <v>1000</v>
      </c>
    </row>
    <row r="68" spans="2:19" ht="15.6">
      <c r="B68" s="10" t="s">
        <v>219</v>
      </c>
      <c r="C68" s="9" t="s">
        <v>221</v>
      </c>
      <c r="D68" s="11" t="s">
        <v>222</v>
      </c>
      <c r="E68" s="26">
        <f>IFERROR(_xlfn.IFNA(VLOOKUP($C68,Dulieutho,ChiTiet!M$2,FALSE),0)*$E$3,0)</f>
        <v>0</v>
      </c>
      <c r="F68" s="26">
        <f>IFERROR(_xlfn.IFNA(VLOOKUP($C68,Dulieutho,ChiTiet!N$2,FALSE),0)*$F$3,0)</f>
        <v>0</v>
      </c>
      <c r="G68" s="26">
        <f>IFERROR(_xlfn.IFNA(VLOOKUP($C68,Dulieutho,ChiTiet!O$2,FALSE),0)*$G$3,0)</f>
        <v>64</v>
      </c>
      <c r="H68" s="26">
        <f>IFERROR(_xlfn.IFNA(VLOOKUP($C68,Dulieutho,ChiTiet!P$2,FALSE),0),0)</f>
        <v>0</v>
      </c>
      <c r="I68" s="26">
        <f>IFERROR(_xlfn.IFNA(VLOOKUP($C68,Dulieutho,ChiTiet!Q$2,FALSE),0),0)</f>
        <v>1</v>
      </c>
      <c r="J68" s="26">
        <f>IFERROR(_xlfn.IFNA(VLOOKUP($C68,Dulieutho,ChiTiet!R$2,FALSE),0),0)</f>
        <v>6</v>
      </c>
      <c r="K68" s="26">
        <f>IFERROR(_xlfn.IFNA(VLOOKUP($C68,Dulieutho,ChiTiet!S$2,FALSE)*$K$3,0),0)</f>
        <v>216</v>
      </c>
      <c r="L68" s="26">
        <f>IFERROR(_xlfn.IFNA(VLOOKUP($C68,Dulieutho,ChiTiet!U$2,FALSE),0),0)</f>
        <v>12</v>
      </c>
      <c r="M68" s="26">
        <f>IFERROR(_xlfn.IFNA(VLOOKUP($C68,Dulieutho,ChiTiet!T$2,FALSE),0),0)</f>
        <v>2</v>
      </c>
      <c r="N68" s="26">
        <f>IFERROR(_xlfn.IFNA(VLOOKUP($C68,Dulieutho,ChiTiet!V$2,FALSE)*1000,0),0)</f>
        <v>8000</v>
      </c>
      <c r="O68" s="26">
        <f>IFERROR(_xlfn.IFNA(VLOOKUP($C68,Dulieutho,ChiTiet!W$2,FALSE)*$O$3,0),0)</f>
        <v>5000</v>
      </c>
      <c r="P68" s="26">
        <f>IFERROR(_xlfn.IFNA(VLOOKUP($C68,Dulieutho,ChiTiet!X$2,FALSE)*$P$3,0),0)</f>
        <v>0</v>
      </c>
      <c r="Q68" s="26">
        <f>IFERROR(_xlfn.IFNA(VLOOKUP($C68,Dulieutho,ChiTiet!AG$2,FALSE),0),0)</f>
        <v>1000</v>
      </c>
      <c r="R68" s="26">
        <f>IFERROR(_xlfn.IFNA(VLOOKUP($C68,Dulieutho,ChiTiet!AH$2,FALSE),0),0)</f>
        <v>1</v>
      </c>
      <c r="S68" s="26">
        <f>IFERROR(_xlfn.IFNA(VLOOKUP($C68,Dulieutho,ChiTiet!AI$2,FALSE)*$S$3,0),0)</f>
        <v>1000</v>
      </c>
    </row>
    <row r="69" spans="2:19" ht="15.6">
      <c r="B69" s="10" t="s">
        <v>219</v>
      </c>
      <c r="C69" s="9" t="s">
        <v>223</v>
      </c>
      <c r="D69" s="11" t="s">
        <v>224</v>
      </c>
      <c r="E69" s="26">
        <f>IFERROR(_xlfn.IFNA(VLOOKUP($C69,Dulieutho,ChiTiet!M$2,FALSE),0)*$E$3,0)</f>
        <v>0</v>
      </c>
      <c r="F69" s="26">
        <f>IFERROR(_xlfn.IFNA(VLOOKUP($C69,Dulieutho,ChiTiet!N$2,FALSE),0)*$F$3,0)</f>
        <v>0</v>
      </c>
      <c r="G69" s="26">
        <f>IFERROR(_xlfn.IFNA(VLOOKUP($C69,Dulieutho,ChiTiet!O$2,FALSE),0)*$G$3,0)</f>
        <v>0</v>
      </c>
      <c r="H69" s="26">
        <f>IFERROR(_xlfn.IFNA(VLOOKUP($C69,Dulieutho,ChiTiet!P$2,FALSE),0),0)</f>
        <v>0</v>
      </c>
      <c r="I69" s="26">
        <f>IFERROR(_xlfn.IFNA(VLOOKUP($C69,Dulieutho,ChiTiet!Q$2,FALSE),0),0)</f>
        <v>1</v>
      </c>
      <c r="J69" s="26">
        <f>IFERROR(_xlfn.IFNA(VLOOKUP($C69,Dulieutho,ChiTiet!R$2,FALSE),0),0)</f>
        <v>0</v>
      </c>
      <c r="K69" s="26">
        <f>IFERROR(_xlfn.IFNA(VLOOKUP($C69,Dulieutho,ChiTiet!S$2,FALSE)*$K$3,0),0)</f>
        <v>324</v>
      </c>
      <c r="L69" s="26">
        <f>IFERROR(_xlfn.IFNA(VLOOKUP($C69,Dulieutho,ChiTiet!U$2,FALSE),0),0)</f>
        <v>0</v>
      </c>
      <c r="M69" s="26">
        <f>IFERROR(_xlfn.IFNA(VLOOKUP($C69,Dulieutho,ChiTiet!T$2,FALSE),0),0)</f>
        <v>0</v>
      </c>
      <c r="N69" s="26">
        <f>IFERROR(_xlfn.IFNA(VLOOKUP($C69,Dulieutho,ChiTiet!V$2,FALSE)*1000,0),0)</f>
        <v>6000</v>
      </c>
      <c r="O69" s="26">
        <f>IFERROR(_xlfn.IFNA(VLOOKUP($C69,Dulieutho,ChiTiet!W$2,FALSE)*$O$3,0),0)</f>
        <v>4000</v>
      </c>
      <c r="P69" s="26">
        <f>IFERROR(_xlfn.IFNA(VLOOKUP($C69,Dulieutho,ChiTiet!X$2,FALSE)*$P$3,0),0)</f>
        <v>0</v>
      </c>
      <c r="Q69" s="26">
        <f>IFERROR(_xlfn.IFNA(VLOOKUP($C69,Dulieutho,ChiTiet!AG$2,FALSE),0),0)</f>
        <v>1000</v>
      </c>
      <c r="R69" s="26">
        <f>IFERROR(_xlfn.IFNA(VLOOKUP($C69,Dulieutho,ChiTiet!AH$2,FALSE),0),0)</f>
        <v>0</v>
      </c>
      <c r="S69" s="26">
        <f>IFERROR(_xlfn.IFNA(VLOOKUP($C69,Dulieutho,ChiTiet!AI$2,FALSE)*$S$3,0),0)</f>
        <v>1000</v>
      </c>
    </row>
    <row r="70" spans="2:19" ht="15.6">
      <c r="B70" s="10" t="s">
        <v>219</v>
      </c>
      <c r="C70" s="9" t="s">
        <v>225</v>
      </c>
      <c r="D70" s="11" t="s">
        <v>226</v>
      </c>
      <c r="E70" s="26">
        <f>IFERROR(_xlfn.IFNA(VLOOKUP($C70,Dulieutho,ChiTiet!M$2,FALSE),0)*$E$3,0)</f>
        <v>500</v>
      </c>
      <c r="F70" s="26">
        <f>IFERROR(_xlfn.IFNA(VLOOKUP($C70,Dulieutho,ChiTiet!N$2,FALSE),0)*$F$3,0)</f>
        <v>1000</v>
      </c>
      <c r="G70" s="26">
        <f>IFERROR(_xlfn.IFNA(VLOOKUP($C70,Dulieutho,ChiTiet!O$2,FALSE),0)*$G$3,0)</f>
        <v>192</v>
      </c>
      <c r="H70" s="26">
        <f>IFERROR(_xlfn.IFNA(VLOOKUP($C70,Dulieutho,ChiTiet!P$2,FALSE),0),0)</f>
        <v>0</v>
      </c>
      <c r="I70" s="26">
        <f>IFERROR(_xlfn.IFNA(VLOOKUP($C70,Dulieutho,ChiTiet!Q$2,FALSE),0),0)</f>
        <v>3</v>
      </c>
      <c r="J70" s="26">
        <f>IFERROR(_xlfn.IFNA(VLOOKUP($C70,Dulieutho,ChiTiet!R$2,FALSE),0),0)</f>
        <v>10</v>
      </c>
      <c r="K70" s="26">
        <f>IFERROR(_xlfn.IFNA(VLOOKUP($C70,Dulieutho,ChiTiet!S$2,FALSE)*$K$3,0),0)</f>
        <v>540</v>
      </c>
      <c r="L70" s="26">
        <f>IFERROR(_xlfn.IFNA(VLOOKUP($C70,Dulieutho,ChiTiet!U$2,FALSE),0),0)</f>
        <v>12</v>
      </c>
      <c r="M70" s="26">
        <f>IFERROR(_xlfn.IFNA(VLOOKUP($C70,Dulieutho,ChiTiet!T$2,FALSE),0),0)</f>
        <v>3</v>
      </c>
      <c r="N70" s="26">
        <f>IFERROR(_xlfn.IFNA(VLOOKUP($C70,Dulieutho,ChiTiet!V$2,FALSE)*1000,0),0)</f>
        <v>8000</v>
      </c>
      <c r="O70" s="26">
        <f>IFERROR(_xlfn.IFNA(VLOOKUP($C70,Dulieutho,ChiTiet!W$2,FALSE)*$O$3,0),0)</f>
        <v>5000</v>
      </c>
      <c r="P70" s="26">
        <f>IFERROR(_xlfn.IFNA(VLOOKUP($C70,Dulieutho,ChiTiet!X$2,FALSE)*$P$3,0),0)</f>
        <v>500</v>
      </c>
      <c r="Q70" s="26">
        <f>IFERROR(_xlfn.IFNA(VLOOKUP($C70,Dulieutho,ChiTiet!AG$2,FALSE),0),0)</f>
        <v>2000</v>
      </c>
      <c r="R70" s="26">
        <f>IFERROR(_xlfn.IFNA(VLOOKUP($C70,Dulieutho,ChiTiet!AH$2,FALSE),0),0)</f>
        <v>1</v>
      </c>
      <c r="S70" s="26">
        <f>IFERROR(_xlfn.IFNA(VLOOKUP($C70,Dulieutho,ChiTiet!AI$2,FALSE)*$S$3,0),0)</f>
        <v>2000</v>
      </c>
    </row>
    <row r="71" spans="2:19" ht="15.6">
      <c r="B71" s="10" t="s">
        <v>219</v>
      </c>
      <c r="C71" s="9" t="s">
        <v>227</v>
      </c>
      <c r="D71" s="11" t="s">
        <v>228</v>
      </c>
      <c r="E71" s="26">
        <f>IFERROR(_xlfn.IFNA(VLOOKUP($C71,Dulieutho,ChiTiet!M$2,FALSE),0)*$E$3,0)</f>
        <v>0</v>
      </c>
      <c r="F71" s="26">
        <f>IFERROR(_xlfn.IFNA(VLOOKUP($C71,Dulieutho,ChiTiet!N$2,FALSE),0)*$F$3,0)</f>
        <v>0</v>
      </c>
      <c r="G71" s="26">
        <f>IFERROR(_xlfn.IFNA(VLOOKUP($C71,Dulieutho,ChiTiet!O$2,FALSE),0)*$G$3,0)</f>
        <v>64</v>
      </c>
      <c r="H71" s="26">
        <f>IFERROR(_xlfn.IFNA(VLOOKUP($C71,Dulieutho,ChiTiet!P$2,FALSE),0),0)</f>
        <v>0</v>
      </c>
      <c r="I71" s="26">
        <f>IFERROR(_xlfn.IFNA(VLOOKUP($C71,Dulieutho,ChiTiet!Q$2,FALSE),0),0)</f>
        <v>2</v>
      </c>
      <c r="J71" s="26">
        <f>IFERROR(_xlfn.IFNA(VLOOKUP($C71,Dulieutho,ChiTiet!R$2,FALSE),0),0)</f>
        <v>11.5</v>
      </c>
      <c r="K71" s="26">
        <f>IFERROR(_xlfn.IFNA(VLOOKUP($C71,Dulieutho,ChiTiet!S$2,FALSE)*$K$3,0),0)</f>
        <v>432</v>
      </c>
      <c r="L71" s="26">
        <f>IFERROR(_xlfn.IFNA(VLOOKUP($C71,Dulieutho,ChiTiet!U$2,FALSE),0),0)</f>
        <v>0</v>
      </c>
      <c r="M71" s="26">
        <f>IFERROR(_xlfn.IFNA(VLOOKUP($C71,Dulieutho,ChiTiet!T$2,FALSE),0),0)</f>
        <v>3</v>
      </c>
      <c r="N71" s="26">
        <f>IFERROR(_xlfn.IFNA(VLOOKUP($C71,Dulieutho,ChiTiet!V$2,FALSE)*1000,0),0)</f>
        <v>10000</v>
      </c>
      <c r="O71" s="26">
        <f>IFERROR(_xlfn.IFNA(VLOOKUP($C71,Dulieutho,ChiTiet!W$2,FALSE)*$O$3,0),0)</f>
        <v>6000</v>
      </c>
      <c r="P71" s="26">
        <f>IFERROR(_xlfn.IFNA(VLOOKUP($C71,Dulieutho,ChiTiet!X$2,FALSE)*$P$3,0),0)</f>
        <v>0</v>
      </c>
      <c r="Q71" s="26">
        <f>IFERROR(_xlfn.IFNA(VLOOKUP($C71,Dulieutho,ChiTiet!AG$2,FALSE),0),0)</f>
        <v>3000</v>
      </c>
      <c r="R71" s="26">
        <f>IFERROR(_xlfn.IFNA(VLOOKUP($C71,Dulieutho,ChiTiet!AH$2,FALSE),0),0)</f>
        <v>0</v>
      </c>
      <c r="S71" s="26">
        <f>IFERROR(_xlfn.IFNA(VLOOKUP($C71,Dulieutho,ChiTiet!AI$2,FALSE)*$S$3,0),0)</f>
        <v>3000</v>
      </c>
    </row>
    <row r="72" spans="2:19" ht="15.6">
      <c r="B72" s="10" t="s">
        <v>219</v>
      </c>
      <c r="C72" s="9" t="s">
        <v>229</v>
      </c>
      <c r="D72" s="11" t="s">
        <v>230</v>
      </c>
      <c r="E72" s="26">
        <f>IFERROR(_xlfn.IFNA(VLOOKUP($C72,Dulieutho,ChiTiet!M$2,FALSE),0)*$E$3,0)</f>
        <v>1500</v>
      </c>
      <c r="F72" s="26">
        <f>IFERROR(_xlfn.IFNA(VLOOKUP($C72,Dulieutho,ChiTiet!N$2,FALSE),0)*$F$3,0)</f>
        <v>0</v>
      </c>
      <c r="G72" s="26">
        <f>IFERROR(_xlfn.IFNA(VLOOKUP($C72,Dulieutho,ChiTiet!O$2,FALSE),0)*$G$3,0)</f>
        <v>96</v>
      </c>
      <c r="H72" s="26">
        <f>IFERROR(_xlfn.IFNA(VLOOKUP($C72,Dulieutho,ChiTiet!P$2,FALSE),0),0)</f>
        <v>25</v>
      </c>
      <c r="I72" s="26">
        <f>IFERROR(_xlfn.IFNA(VLOOKUP($C72,Dulieutho,ChiTiet!Q$2,FALSE),0),0)</f>
        <v>2</v>
      </c>
      <c r="J72" s="26">
        <f>IFERROR(_xlfn.IFNA(VLOOKUP($C72,Dulieutho,ChiTiet!R$2,FALSE),0),0)</f>
        <v>8</v>
      </c>
      <c r="K72" s="26">
        <f>IFERROR(_xlfn.IFNA(VLOOKUP($C72,Dulieutho,ChiTiet!S$2,FALSE)*$K$3,0),0)</f>
        <v>432</v>
      </c>
      <c r="L72" s="26">
        <f>IFERROR(_xlfn.IFNA(VLOOKUP($C72,Dulieutho,ChiTiet!U$2,FALSE),0),0)</f>
        <v>12</v>
      </c>
      <c r="M72" s="26">
        <f>IFERROR(_xlfn.IFNA(VLOOKUP($C72,Dulieutho,ChiTiet!T$2,FALSE),0),0)</f>
        <v>3</v>
      </c>
      <c r="N72" s="26">
        <f>IFERROR(_xlfn.IFNA(VLOOKUP($C72,Dulieutho,ChiTiet!V$2,FALSE)*1000,0),0)</f>
        <v>8000</v>
      </c>
      <c r="O72" s="26">
        <f>IFERROR(_xlfn.IFNA(VLOOKUP($C72,Dulieutho,ChiTiet!W$2,FALSE)*$O$3,0),0)</f>
        <v>15000</v>
      </c>
      <c r="P72" s="26">
        <f>IFERROR(_xlfn.IFNA(VLOOKUP($C72,Dulieutho,ChiTiet!X$2,FALSE)*$P$3,0),0)</f>
        <v>500</v>
      </c>
      <c r="Q72" s="26">
        <f>IFERROR(_xlfn.IFNA(VLOOKUP($C72,Dulieutho,ChiTiet!AG$2,FALSE),0),0)</f>
        <v>2000</v>
      </c>
      <c r="R72" s="26">
        <f>IFERROR(_xlfn.IFNA(VLOOKUP($C72,Dulieutho,ChiTiet!AH$2,FALSE),0),0)</f>
        <v>1</v>
      </c>
      <c r="S72" s="26">
        <f>IFERROR(_xlfn.IFNA(VLOOKUP($C72,Dulieutho,ChiTiet!AI$2,FALSE)*$S$3,0),0)</f>
        <v>2000</v>
      </c>
    </row>
    <row r="73" spans="2:19" ht="15.6">
      <c r="B73" s="10" t="s">
        <v>219</v>
      </c>
      <c r="C73" s="9" t="s">
        <v>231</v>
      </c>
      <c r="D73" s="11" t="s">
        <v>232</v>
      </c>
      <c r="E73" s="26">
        <f>IFERROR(_xlfn.IFNA(VLOOKUP($C73,Dulieutho,ChiTiet!M$2,FALSE),0)*$E$3,0)</f>
        <v>0</v>
      </c>
      <c r="F73" s="26">
        <f>IFERROR(_xlfn.IFNA(VLOOKUP($C73,Dulieutho,ChiTiet!N$2,FALSE),0)*$F$3,0)</f>
        <v>1000</v>
      </c>
      <c r="G73" s="26">
        <f>IFERROR(_xlfn.IFNA(VLOOKUP($C73,Dulieutho,ChiTiet!O$2,FALSE),0)*$G$3,0)</f>
        <v>192</v>
      </c>
      <c r="H73" s="26">
        <f>IFERROR(_xlfn.IFNA(VLOOKUP($C73,Dulieutho,ChiTiet!P$2,FALSE),0),0)</f>
        <v>0</v>
      </c>
      <c r="I73" s="26">
        <f>IFERROR(_xlfn.IFNA(VLOOKUP($C73,Dulieutho,ChiTiet!Q$2,FALSE),0),0)</f>
        <v>2</v>
      </c>
      <c r="J73" s="26">
        <f>IFERROR(_xlfn.IFNA(VLOOKUP($C73,Dulieutho,ChiTiet!R$2,FALSE),0),0)</f>
        <v>8</v>
      </c>
      <c r="K73" s="26">
        <f>IFERROR(_xlfn.IFNA(VLOOKUP($C73,Dulieutho,ChiTiet!S$2,FALSE)*$K$3,0),0)</f>
        <v>540</v>
      </c>
      <c r="L73" s="26">
        <f>IFERROR(_xlfn.IFNA(VLOOKUP($C73,Dulieutho,ChiTiet!U$2,FALSE),0),0)</f>
        <v>12</v>
      </c>
      <c r="M73" s="26">
        <f>IFERROR(_xlfn.IFNA(VLOOKUP($C73,Dulieutho,ChiTiet!T$2,FALSE),0),0)</f>
        <v>4</v>
      </c>
      <c r="N73" s="26">
        <f>IFERROR(_xlfn.IFNA(VLOOKUP($C73,Dulieutho,ChiTiet!V$2,FALSE)*1000,0),0)</f>
        <v>12000</v>
      </c>
      <c r="O73" s="26">
        <f>IFERROR(_xlfn.IFNA(VLOOKUP($C73,Dulieutho,ChiTiet!W$2,FALSE)*$O$3,0),0)</f>
        <v>8000</v>
      </c>
      <c r="P73" s="26">
        <f>IFERROR(_xlfn.IFNA(VLOOKUP($C73,Dulieutho,ChiTiet!X$2,FALSE)*$P$3,0),0)</f>
        <v>0</v>
      </c>
      <c r="Q73" s="26">
        <f>IFERROR(_xlfn.IFNA(VLOOKUP($C73,Dulieutho,ChiTiet!AG$2,FALSE),0),0)</f>
        <v>2000</v>
      </c>
      <c r="R73" s="26">
        <f>IFERROR(_xlfn.IFNA(VLOOKUP($C73,Dulieutho,ChiTiet!AH$2,FALSE),0),0)</f>
        <v>1</v>
      </c>
      <c r="S73" s="26">
        <f>IFERROR(_xlfn.IFNA(VLOOKUP($C73,Dulieutho,ChiTiet!AI$2,FALSE)*$S$3,0),0)</f>
        <v>2000</v>
      </c>
    </row>
    <row r="74" spans="2:19" ht="15.6">
      <c r="B74" s="14" t="s">
        <v>219</v>
      </c>
      <c r="C74" s="13" t="s">
        <v>233</v>
      </c>
      <c r="D74" s="15" t="s">
        <v>234</v>
      </c>
      <c r="E74" s="26">
        <f>IFERROR(_xlfn.IFNA(VLOOKUP($C74,Dulieutho,ChiTiet!M$2,FALSE),0)*$E$3,0)</f>
        <v>0</v>
      </c>
      <c r="F74" s="26">
        <f>IFERROR(_xlfn.IFNA(VLOOKUP($C74,Dulieutho,ChiTiet!N$2,FALSE),0)*$F$3,0)</f>
        <v>1000</v>
      </c>
      <c r="G74" s="26">
        <f>IFERROR(_xlfn.IFNA(VLOOKUP($C74,Dulieutho,ChiTiet!O$2,FALSE),0)*$G$3,0)</f>
        <v>96</v>
      </c>
      <c r="H74" s="26">
        <f>IFERROR(_xlfn.IFNA(VLOOKUP($C74,Dulieutho,ChiTiet!P$2,FALSE),0),0)</f>
        <v>0</v>
      </c>
      <c r="I74" s="26">
        <f>IFERROR(_xlfn.IFNA(VLOOKUP($C74,Dulieutho,ChiTiet!Q$2,FALSE),0),0)</f>
        <v>2</v>
      </c>
      <c r="J74" s="26">
        <f>IFERROR(_xlfn.IFNA(VLOOKUP($C74,Dulieutho,ChiTiet!R$2,FALSE),0),0)</f>
        <v>7</v>
      </c>
      <c r="K74" s="26">
        <f>IFERROR(_xlfn.IFNA(VLOOKUP($C74,Dulieutho,ChiTiet!S$2,FALSE)*$K$3,0),0)</f>
        <v>324</v>
      </c>
      <c r="L74" s="26">
        <f>IFERROR(_xlfn.IFNA(VLOOKUP($C74,Dulieutho,ChiTiet!U$2,FALSE),0),0)</f>
        <v>12</v>
      </c>
      <c r="M74" s="26">
        <f>IFERROR(_xlfn.IFNA(VLOOKUP($C74,Dulieutho,ChiTiet!T$2,FALSE),0),0)</f>
        <v>0</v>
      </c>
      <c r="N74" s="26">
        <f>IFERROR(_xlfn.IFNA(VLOOKUP($C74,Dulieutho,ChiTiet!V$2,FALSE)*1000,0),0)</f>
        <v>6000</v>
      </c>
      <c r="O74" s="26">
        <f>IFERROR(_xlfn.IFNA(VLOOKUP($C74,Dulieutho,ChiTiet!W$2,FALSE)*$O$3,0),0)</f>
        <v>4000</v>
      </c>
      <c r="P74" s="26">
        <f>IFERROR(_xlfn.IFNA(VLOOKUP($C74,Dulieutho,ChiTiet!X$2,FALSE)*$P$3,0),0)</f>
        <v>0</v>
      </c>
      <c r="Q74" s="26">
        <f>IFERROR(_xlfn.IFNA(VLOOKUP($C74,Dulieutho,ChiTiet!AG$2,FALSE),0),0)</f>
        <v>3000</v>
      </c>
      <c r="R74" s="26">
        <f>IFERROR(_xlfn.IFNA(VLOOKUP($C74,Dulieutho,ChiTiet!AH$2,FALSE),0),0)</f>
        <v>0</v>
      </c>
      <c r="S74" s="26">
        <f>IFERROR(_xlfn.IFNA(VLOOKUP($C74,Dulieutho,ChiTiet!AI$2,FALSE)*$S$3,0),0)</f>
        <v>3000</v>
      </c>
    </row>
    <row r="75" spans="2:19" ht="15.6">
      <c r="B75" s="10" t="s">
        <v>219</v>
      </c>
      <c r="C75" s="9" t="s">
        <v>235</v>
      </c>
      <c r="D75" s="11" t="s">
        <v>236</v>
      </c>
      <c r="E75" s="26">
        <f>IFERROR(_xlfn.IFNA(VLOOKUP($C75,Dulieutho,ChiTiet!M$2,FALSE),0)*$E$3,0)</f>
        <v>0</v>
      </c>
      <c r="F75" s="26">
        <f>IFERROR(_xlfn.IFNA(VLOOKUP($C75,Dulieutho,ChiTiet!N$2,FALSE),0)*$F$3,0)</f>
        <v>0</v>
      </c>
      <c r="G75" s="26">
        <f>IFERROR(_xlfn.IFNA(VLOOKUP($C75,Dulieutho,ChiTiet!O$2,FALSE),0)*$G$3,0)</f>
        <v>32</v>
      </c>
      <c r="H75" s="26">
        <f>IFERROR(_xlfn.IFNA(VLOOKUP($C75,Dulieutho,ChiTiet!P$2,FALSE),0),0)</f>
        <v>25</v>
      </c>
      <c r="I75" s="26">
        <f>IFERROR(_xlfn.IFNA(VLOOKUP($C75,Dulieutho,ChiTiet!Q$2,FALSE),0),0)</f>
        <v>3</v>
      </c>
      <c r="J75" s="26">
        <f>IFERROR(_xlfn.IFNA(VLOOKUP($C75,Dulieutho,ChiTiet!R$2,FALSE),0),0)</f>
        <v>2</v>
      </c>
      <c r="K75" s="26">
        <f>IFERROR(_xlfn.IFNA(VLOOKUP($C75,Dulieutho,ChiTiet!S$2,FALSE)*$K$3,0),0)</f>
        <v>108</v>
      </c>
      <c r="L75" s="26">
        <f>IFERROR(_xlfn.IFNA(VLOOKUP($C75,Dulieutho,ChiTiet!U$2,FALSE),0),0)</f>
        <v>0</v>
      </c>
      <c r="M75" s="26">
        <f>IFERROR(_xlfn.IFNA(VLOOKUP($C75,Dulieutho,ChiTiet!T$2,FALSE),0),0)</f>
        <v>0</v>
      </c>
      <c r="N75" s="26">
        <f>IFERROR(_xlfn.IFNA(VLOOKUP($C75,Dulieutho,ChiTiet!V$2,FALSE)*1000,0),0)</f>
        <v>8000</v>
      </c>
      <c r="O75" s="26">
        <f>IFERROR(_xlfn.IFNA(VLOOKUP($C75,Dulieutho,ChiTiet!W$2,FALSE)*$O$3,0),0)</f>
        <v>3000</v>
      </c>
      <c r="P75" s="26">
        <f>IFERROR(_xlfn.IFNA(VLOOKUP($C75,Dulieutho,ChiTiet!X$2,FALSE)*$P$3,0),0)</f>
        <v>0</v>
      </c>
      <c r="Q75" s="26">
        <f>IFERROR(_xlfn.IFNA(VLOOKUP($C75,Dulieutho,ChiTiet!AG$2,FALSE),0),0)</f>
        <v>1000</v>
      </c>
      <c r="R75" s="26">
        <f>IFERROR(_xlfn.IFNA(VLOOKUP($C75,Dulieutho,ChiTiet!AH$2,FALSE),0),0)</f>
        <v>0</v>
      </c>
      <c r="S75" s="26">
        <f>IFERROR(_xlfn.IFNA(VLOOKUP($C75,Dulieutho,ChiTiet!AI$2,FALSE)*$S$3,0),0)</f>
        <v>1000</v>
      </c>
    </row>
    <row r="76" spans="2:19" ht="15.6">
      <c r="B76" s="10" t="s">
        <v>219</v>
      </c>
      <c r="C76" s="9" t="s">
        <v>237</v>
      </c>
      <c r="D76" s="11" t="s">
        <v>238</v>
      </c>
      <c r="E76" s="26">
        <f>IFERROR(_xlfn.IFNA(VLOOKUP($C76,Dulieutho,ChiTiet!M$2,FALSE),0)*$E$3,0)</f>
        <v>0</v>
      </c>
      <c r="F76" s="26">
        <f>IFERROR(_xlfn.IFNA(VLOOKUP($C76,Dulieutho,ChiTiet!N$2,FALSE),0)*$F$3,0)</f>
        <v>2000</v>
      </c>
      <c r="G76" s="26">
        <f>IFERROR(_xlfn.IFNA(VLOOKUP($C76,Dulieutho,ChiTiet!O$2,FALSE),0)*$G$3,0)</f>
        <v>128</v>
      </c>
      <c r="H76" s="26">
        <f>IFERROR(_xlfn.IFNA(VLOOKUP($C76,Dulieutho,ChiTiet!P$2,FALSE),0),0)</f>
        <v>25</v>
      </c>
      <c r="I76" s="26">
        <f>IFERROR(_xlfn.IFNA(VLOOKUP($C76,Dulieutho,ChiTiet!Q$2,FALSE),0),0)</f>
        <v>1</v>
      </c>
      <c r="J76" s="26">
        <f>IFERROR(_xlfn.IFNA(VLOOKUP($C76,Dulieutho,ChiTiet!R$2,FALSE),0),0)</f>
        <v>11</v>
      </c>
      <c r="K76" s="26">
        <f>IFERROR(_xlfn.IFNA(VLOOKUP($C76,Dulieutho,ChiTiet!S$2,FALSE)*$K$3,0),0)</f>
        <v>648</v>
      </c>
      <c r="L76" s="26">
        <f>IFERROR(_xlfn.IFNA(VLOOKUP($C76,Dulieutho,ChiTiet!U$2,FALSE),0),0)</f>
        <v>0</v>
      </c>
      <c r="M76" s="26">
        <f>IFERROR(_xlfn.IFNA(VLOOKUP($C76,Dulieutho,ChiTiet!T$2,FALSE),0),0)</f>
        <v>6</v>
      </c>
      <c r="N76" s="26">
        <f>IFERROR(_xlfn.IFNA(VLOOKUP($C76,Dulieutho,ChiTiet!V$2,FALSE)*1000,0),0)</f>
        <v>12000</v>
      </c>
      <c r="O76" s="26">
        <f>IFERROR(_xlfn.IFNA(VLOOKUP($C76,Dulieutho,ChiTiet!W$2,FALSE)*$O$3,0),0)</f>
        <v>4000</v>
      </c>
      <c r="P76" s="26">
        <f>IFERROR(_xlfn.IFNA(VLOOKUP($C76,Dulieutho,ChiTiet!X$2,FALSE)*$P$3,0),0)</f>
        <v>0</v>
      </c>
      <c r="Q76" s="26">
        <f>IFERROR(_xlfn.IFNA(VLOOKUP($C76,Dulieutho,ChiTiet!AG$2,FALSE),0),0)</f>
        <v>1000</v>
      </c>
      <c r="R76" s="26">
        <f>IFERROR(_xlfn.IFNA(VLOOKUP($C76,Dulieutho,ChiTiet!AH$2,FALSE),0),0)</f>
        <v>0</v>
      </c>
      <c r="S76" s="26">
        <f>IFERROR(_xlfn.IFNA(VLOOKUP($C76,Dulieutho,ChiTiet!AI$2,FALSE)*$S$3,0),0)</f>
        <v>1000</v>
      </c>
    </row>
    <row r="77" spans="2:19" ht="15.6">
      <c r="B77" s="10" t="s">
        <v>219</v>
      </c>
      <c r="C77" s="9" t="s">
        <v>239</v>
      </c>
      <c r="D77" s="11" t="s">
        <v>240</v>
      </c>
      <c r="E77" s="26">
        <f>IFERROR(_xlfn.IFNA(VLOOKUP($C77,Dulieutho,ChiTiet!M$2,FALSE),0)*$E$3,0)</f>
        <v>1500</v>
      </c>
      <c r="F77" s="26">
        <f>IFERROR(_xlfn.IFNA(VLOOKUP($C77,Dulieutho,ChiTiet!N$2,FALSE),0)*$F$3,0)</f>
        <v>1000</v>
      </c>
      <c r="G77" s="26">
        <f>IFERROR(_xlfn.IFNA(VLOOKUP($C77,Dulieutho,ChiTiet!O$2,FALSE),0)*$G$3,0)</f>
        <v>256</v>
      </c>
      <c r="H77" s="26">
        <f>IFERROR(_xlfn.IFNA(VLOOKUP($C77,Dulieutho,ChiTiet!P$2,FALSE),0),0)</f>
        <v>75</v>
      </c>
      <c r="I77" s="26">
        <f>IFERROR(_xlfn.IFNA(VLOOKUP($C77,Dulieutho,ChiTiet!Q$2,FALSE),0),0)</f>
        <v>3</v>
      </c>
      <c r="J77" s="26">
        <f>IFERROR(_xlfn.IFNA(VLOOKUP($C77,Dulieutho,ChiTiet!R$2,FALSE),0),0)</f>
        <v>26</v>
      </c>
      <c r="K77" s="26">
        <f>IFERROR(_xlfn.IFNA(VLOOKUP($C77,Dulieutho,ChiTiet!S$2,FALSE)*$K$3,0),0)</f>
        <v>972</v>
      </c>
      <c r="L77" s="26">
        <f>IFERROR(_xlfn.IFNA(VLOOKUP($C77,Dulieutho,ChiTiet!U$2,FALSE),0),0)</f>
        <v>24</v>
      </c>
      <c r="M77" s="26">
        <f>IFERROR(_xlfn.IFNA(VLOOKUP($C77,Dulieutho,ChiTiet!T$2,FALSE),0),0)</f>
        <v>6</v>
      </c>
      <c r="N77" s="26">
        <f>IFERROR(_xlfn.IFNA(VLOOKUP($C77,Dulieutho,ChiTiet!V$2,FALSE)*1000,0),0)</f>
        <v>20000</v>
      </c>
      <c r="O77" s="26">
        <f>IFERROR(_xlfn.IFNA(VLOOKUP($C77,Dulieutho,ChiTiet!W$2,FALSE)*$O$3,0),0)</f>
        <v>11000</v>
      </c>
      <c r="P77" s="26">
        <f>IFERROR(_xlfn.IFNA(VLOOKUP($C77,Dulieutho,ChiTiet!X$2,FALSE)*$P$3,0),0)</f>
        <v>500</v>
      </c>
      <c r="Q77" s="26">
        <f>IFERROR(_xlfn.IFNA(VLOOKUP($C77,Dulieutho,ChiTiet!AG$2,FALSE),0),0)</f>
        <v>3000</v>
      </c>
      <c r="R77" s="26">
        <f>IFERROR(_xlfn.IFNA(VLOOKUP($C77,Dulieutho,ChiTiet!AH$2,FALSE),0),0)</f>
        <v>1</v>
      </c>
      <c r="S77" s="26">
        <f>IFERROR(_xlfn.IFNA(VLOOKUP($C77,Dulieutho,ChiTiet!AI$2,FALSE)*$S$3,0),0)</f>
        <v>3000</v>
      </c>
    </row>
    <row r="78" spans="2:19" ht="15.6">
      <c r="B78" s="10" t="s">
        <v>219</v>
      </c>
      <c r="C78" s="9" t="s">
        <v>241</v>
      </c>
      <c r="D78" s="11" t="s">
        <v>242</v>
      </c>
      <c r="E78" s="26">
        <f>IFERROR(_xlfn.IFNA(VLOOKUP($C78,Dulieutho,ChiTiet!M$2,FALSE),0)*$E$3,0)</f>
        <v>0</v>
      </c>
      <c r="F78" s="26">
        <f>IFERROR(_xlfn.IFNA(VLOOKUP($C78,Dulieutho,ChiTiet!N$2,FALSE),0)*$F$3,0)</f>
        <v>1000</v>
      </c>
      <c r="G78" s="26">
        <f>IFERROR(_xlfn.IFNA(VLOOKUP($C78,Dulieutho,ChiTiet!O$2,FALSE),0)*$G$3,0)</f>
        <v>32</v>
      </c>
      <c r="H78" s="26">
        <f>IFERROR(_xlfn.IFNA(VLOOKUP($C78,Dulieutho,ChiTiet!P$2,FALSE),0),0)</f>
        <v>25</v>
      </c>
      <c r="I78" s="26">
        <f>IFERROR(_xlfn.IFNA(VLOOKUP($C78,Dulieutho,ChiTiet!Q$2,FALSE),0),0)</f>
        <v>4</v>
      </c>
      <c r="J78" s="26">
        <f>IFERROR(_xlfn.IFNA(VLOOKUP($C78,Dulieutho,ChiTiet!R$2,FALSE),0),0)</f>
        <v>11</v>
      </c>
      <c r="K78" s="26">
        <f>IFERROR(_xlfn.IFNA(VLOOKUP($C78,Dulieutho,ChiTiet!S$2,FALSE)*$K$3,0),0)</f>
        <v>216</v>
      </c>
      <c r="L78" s="26">
        <f>IFERROR(_xlfn.IFNA(VLOOKUP($C78,Dulieutho,ChiTiet!U$2,FALSE),0),0)</f>
        <v>24</v>
      </c>
      <c r="M78" s="26">
        <f>IFERROR(_xlfn.IFNA(VLOOKUP($C78,Dulieutho,ChiTiet!T$2,FALSE),0),0)</f>
        <v>0</v>
      </c>
      <c r="N78" s="26">
        <f>IFERROR(_xlfn.IFNA(VLOOKUP($C78,Dulieutho,ChiTiet!V$2,FALSE)*1000,0),0)</f>
        <v>12000</v>
      </c>
      <c r="O78" s="26">
        <f>IFERROR(_xlfn.IFNA(VLOOKUP($C78,Dulieutho,ChiTiet!W$2,FALSE)*$O$3,0),0)</f>
        <v>5000</v>
      </c>
      <c r="P78" s="26">
        <f>IFERROR(_xlfn.IFNA(VLOOKUP($C78,Dulieutho,ChiTiet!X$2,FALSE)*$P$3,0),0)</f>
        <v>0</v>
      </c>
      <c r="Q78" s="26">
        <f>IFERROR(_xlfn.IFNA(VLOOKUP($C78,Dulieutho,ChiTiet!AG$2,FALSE),0),0)</f>
        <v>2000</v>
      </c>
      <c r="R78" s="26">
        <f>IFERROR(_xlfn.IFNA(VLOOKUP($C78,Dulieutho,ChiTiet!AH$2,FALSE),0),0)</f>
        <v>0</v>
      </c>
      <c r="S78" s="26">
        <f>IFERROR(_xlfn.IFNA(VLOOKUP($C78,Dulieutho,ChiTiet!AI$2,FALSE)*$S$3,0),0)</f>
        <v>1000</v>
      </c>
    </row>
    <row r="79" spans="2:19" ht="15.6">
      <c r="B79" s="10" t="s">
        <v>219</v>
      </c>
      <c r="C79" s="9" t="s">
        <v>243</v>
      </c>
      <c r="D79" s="11" t="s">
        <v>244</v>
      </c>
      <c r="E79" s="26">
        <f>IFERROR(_xlfn.IFNA(VLOOKUP($C79,Dulieutho,ChiTiet!M$2,FALSE),0)*$E$3,0)</f>
        <v>0</v>
      </c>
      <c r="F79" s="26">
        <f>IFERROR(_xlfn.IFNA(VLOOKUP($C79,Dulieutho,ChiTiet!N$2,FALSE),0)*$F$3,0)</f>
        <v>0</v>
      </c>
      <c r="G79" s="26">
        <f>IFERROR(_xlfn.IFNA(VLOOKUP($C79,Dulieutho,ChiTiet!O$2,FALSE),0)*$G$3,0)</f>
        <v>32</v>
      </c>
      <c r="H79" s="26">
        <f>IFERROR(_xlfn.IFNA(VLOOKUP($C79,Dulieutho,ChiTiet!P$2,FALSE),0),0)</f>
        <v>0</v>
      </c>
      <c r="I79" s="26">
        <f>IFERROR(_xlfn.IFNA(VLOOKUP($C79,Dulieutho,ChiTiet!Q$2,FALSE),0),0)</f>
        <v>2</v>
      </c>
      <c r="J79" s="26">
        <f>IFERROR(_xlfn.IFNA(VLOOKUP($C79,Dulieutho,ChiTiet!R$2,FALSE),0),0)</f>
        <v>10</v>
      </c>
      <c r="K79" s="26">
        <f>IFERROR(_xlfn.IFNA(VLOOKUP($C79,Dulieutho,ChiTiet!S$2,FALSE)*$K$3,0),0)</f>
        <v>0</v>
      </c>
      <c r="L79" s="26">
        <f>IFERROR(_xlfn.IFNA(VLOOKUP($C79,Dulieutho,ChiTiet!U$2,FALSE),0),0)</f>
        <v>0</v>
      </c>
      <c r="M79" s="26">
        <f>IFERROR(_xlfn.IFNA(VLOOKUP($C79,Dulieutho,ChiTiet!T$2,FALSE),0),0)</f>
        <v>5</v>
      </c>
      <c r="N79" s="26">
        <f>IFERROR(_xlfn.IFNA(VLOOKUP($C79,Dulieutho,ChiTiet!V$2,FALSE)*1000,0),0)</f>
        <v>2000</v>
      </c>
      <c r="O79" s="26">
        <f>IFERROR(_xlfn.IFNA(VLOOKUP($C79,Dulieutho,ChiTiet!W$2,FALSE)*$O$3,0),0)</f>
        <v>9000</v>
      </c>
      <c r="P79" s="26">
        <f>IFERROR(_xlfn.IFNA(VLOOKUP($C79,Dulieutho,ChiTiet!X$2,FALSE)*$P$3,0),0)</f>
        <v>0</v>
      </c>
      <c r="Q79" s="26">
        <f>IFERROR(_xlfn.IFNA(VLOOKUP($C79,Dulieutho,ChiTiet!AG$2,FALSE),0),0)</f>
        <v>1000</v>
      </c>
      <c r="R79" s="26">
        <f>IFERROR(_xlfn.IFNA(VLOOKUP($C79,Dulieutho,ChiTiet!AH$2,FALSE),0),0)</f>
        <v>0</v>
      </c>
      <c r="S79" s="26">
        <f>IFERROR(_xlfn.IFNA(VLOOKUP($C79,Dulieutho,ChiTiet!AI$2,FALSE)*$S$3,0),0)</f>
        <v>1000</v>
      </c>
    </row>
    <row r="80" spans="2:19" ht="15.6">
      <c r="B80" s="10" t="s">
        <v>219</v>
      </c>
      <c r="C80" s="9" t="s">
        <v>245</v>
      </c>
      <c r="D80" s="11" t="s">
        <v>246</v>
      </c>
      <c r="E80" s="26">
        <f>IFERROR(_xlfn.IFNA(VLOOKUP($C80,Dulieutho,ChiTiet!M$2,FALSE),0)*$E$3,0)</f>
        <v>0</v>
      </c>
      <c r="F80" s="26">
        <f>IFERROR(_xlfn.IFNA(VLOOKUP($C80,Dulieutho,ChiTiet!N$2,FALSE),0)*$F$3,0)</f>
        <v>0</v>
      </c>
      <c r="G80" s="26">
        <f>IFERROR(_xlfn.IFNA(VLOOKUP($C80,Dulieutho,ChiTiet!O$2,FALSE),0)*$G$3,0)</f>
        <v>0</v>
      </c>
      <c r="H80" s="26">
        <f>IFERROR(_xlfn.IFNA(VLOOKUP($C80,Dulieutho,ChiTiet!P$2,FALSE),0),0)</f>
        <v>0</v>
      </c>
      <c r="I80" s="26">
        <f>IFERROR(_xlfn.IFNA(VLOOKUP($C80,Dulieutho,ChiTiet!Q$2,FALSE),0),0)</f>
        <v>4</v>
      </c>
      <c r="J80" s="26">
        <f>IFERROR(_xlfn.IFNA(VLOOKUP($C80,Dulieutho,ChiTiet!R$2,FALSE),0),0)</f>
        <v>4</v>
      </c>
      <c r="K80" s="26">
        <f>IFERROR(_xlfn.IFNA(VLOOKUP($C80,Dulieutho,ChiTiet!S$2,FALSE)*$K$3,0),0)</f>
        <v>216</v>
      </c>
      <c r="L80" s="26">
        <f>IFERROR(_xlfn.IFNA(VLOOKUP($C80,Dulieutho,ChiTiet!U$2,FALSE),0),0)</f>
        <v>12</v>
      </c>
      <c r="M80" s="26">
        <f>IFERROR(_xlfn.IFNA(VLOOKUP($C80,Dulieutho,ChiTiet!T$2,FALSE),0),0)</f>
        <v>0</v>
      </c>
      <c r="N80" s="26">
        <f>IFERROR(_xlfn.IFNA(VLOOKUP($C80,Dulieutho,ChiTiet!V$2,FALSE)*1000,0),0)</f>
        <v>6000</v>
      </c>
      <c r="O80" s="26">
        <f>IFERROR(_xlfn.IFNA(VLOOKUP($C80,Dulieutho,ChiTiet!W$2,FALSE)*$O$3,0),0)</f>
        <v>3000</v>
      </c>
      <c r="P80" s="26">
        <f>IFERROR(_xlfn.IFNA(VLOOKUP($C80,Dulieutho,ChiTiet!X$2,FALSE)*$P$3,0),0)</f>
        <v>0</v>
      </c>
      <c r="Q80" s="26">
        <f>IFERROR(_xlfn.IFNA(VLOOKUP($C80,Dulieutho,ChiTiet!AG$2,FALSE),0),0)</f>
        <v>0</v>
      </c>
      <c r="R80" s="26">
        <f>IFERROR(_xlfn.IFNA(VLOOKUP($C80,Dulieutho,ChiTiet!AH$2,FALSE),0),0)</f>
        <v>1</v>
      </c>
      <c r="S80" s="26">
        <f>IFERROR(_xlfn.IFNA(VLOOKUP($C80,Dulieutho,ChiTiet!AI$2,FALSE)*$S$3,0),0)</f>
        <v>0</v>
      </c>
    </row>
    <row r="81" spans="2:19" ht="15.6">
      <c r="B81" s="10" t="s">
        <v>219</v>
      </c>
      <c r="C81" s="9" t="s">
        <v>247</v>
      </c>
      <c r="D81" s="11" t="s">
        <v>248</v>
      </c>
      <c r="E81" s="26">
        <f>IFERROR(_xlfn.IFNA(VLOOKUP($C81,Dulieutho,ChiTiet!M$2,FALSE),0)*$E$3,0)</f>
        <v>1000</v>
      </c>
      <c r="F81" s="26">
        <f>IFERROR(_xlfn.IFNA(VLOOKUP($C81,Dulieutho,ChiTiet!N$2,FALSE),0)*$F$3,0)</f>
        <v>1000</v>
      </c>
      <c r="G81" s="26">
        <f>IFERROR(_xlfn.IFNA(VLOOKUP($C81,Dulieutho,ChiTiet!O$2,FALSE),0)*$G$3,0)</f>
        <v>64</v>
      </c>
      <c r="H81" s="26">
        <f>IFERROR(_xlfn.IFNA(VLOOKUP($C81,Dulieutho,ChiTiet!P$2,FALSE),0),0)</f>
        <v>0</v>
      </c>
      <c r="I81" s="26">
        <f>IFERROR(_xlfn.IFNA(VLOOKUP($C81,Dulieutho,ChiTiet!Q$2,FALSE),0),0)</f>
        <v>2</v>
      </c>
      <c r="J81" s="26">
        <f>IFERROR(_xlfn.IFNA(VLOOKUP($C81,Dulieutho,ChiTiet!R$2,FALSE),0),0)</f>
        <v>6.5</v>
      </c>
      <c r="K81" s="26">
        <f>IFERROR(_xlfn.IFNA(VLOOKUP($C81,Dulieutho,ChiTiet!S$2,FALSE)*$K$3,0),0)</f>
        <v>432</v>
      </c>
      <c r="L81" s="26">
        <f>IFERROR(_xlfn.IFNA(VLOOKUP($C81,Dulieutho,ChiTiet!U$2,FALSE),0),0)</f>
        <v>0</v>
      </c>
      <c r="M81" s="26">
        <f>IFERROR(_xlfn.IFNA(VLOOKUP($C81,Dulieutho,ChiTiet!T$2,FALSE),0),0)</f>
        <v>3</v>
      </c>
      <c r="N81" s="26">
        <f>IFERROR(_xlfn.IFNA(VLOOKUP($C81,Dulieutho,ChiTiet!V$2,FALSE)*1000,0),0)</f>
        <v>0</v>
      </c>
      <c r="O81" s="26">
        <f>IFERROR(_xlfn.IFNA(VLOOKUP($C81,Dulieutho,ChiTiet!W$2,FALSE)*$O$3,0),0)</f>
        <v>13000</v>
      </c>
      <c r="P81" s="26">
        <f>IFERROR(_xlfn.IFNA(VLOOKUP($C81,Dulieutho,ChiTiet!X$2,FALSE)*$P$3,0),0)</f>
        <v>0</v>
      </c>
      <c r="Q81" s="26">
        <f>IFERROR(_xlfn.IFNA(VLOOKUP($C81,Dulieutho,ChiTiet!AG$2,FALSE),0),0)</f>
        <v>1000</v>
      </c>
      <c r="R81" s="26">
        <f>IFERROR(_xlfn.IFNA(VLOOKUP($C81,Dulieutho,ChiTiet!AH$2,FALSE),0),0)</f>
        <v>0</v>
      </c>
      <c r="S81" s="26">
        <f>IFERROR(_xlfn.IFNA(VLOOKUP($C81,Dulieutho,ChiTiet!AI$2,FALSE)*$S$3,0),0)</f>
        <v>1000</v>
      </c>
    </row>
    <row r="82" spans="2:19" ht="15.6">
      <c r="B82" s="10" t="s">
        <v>219</v>
      </c>
      <c r="C82" s="9" t="s">
        <v>249</v>
      </c>
      <c r="D82" s="11" t="s">
        <v>250</v>
      </c>
      <c r="E82" s="26">
        <f>IFERROR(_xlfn.IFNA(VLOOKUP($C82,Dulieutho,ChiTiet!M$2,FALSE),0)*$E$3,0)</f>
        <v>0</v>
      </c>
      <c r="F82" s="26">
        <f>IFERROR(_xlfn.IFNA(VLOOKUP($C82,Dulieutho,ChiTiet!N$2,FALSE),0)*$F$3,0)</f>
        <v>0</v>
      </c>
      <c r="G82" s="26">
        <f>IFERROR(_xlfn.IFNA(VLOOKUP($C82,Dulieutho,ChiTiet!O$2,FALSE),0)*$G$3,0)</f>
        <v>0</v>
      </c>
      <c r="H82" s="26">
        <f>IFERROR(_xlfn.IFNA(VLOOKUP($C82,Dulieutho,ChiTiet!P$2,FALSE),0),0)</f>
        <v>0</v>
      </c>
      <c r="I82" s="26">
        <f>IFERROR(_xlfn.IFNA(VLOOKUP($C82,Dulieutho,ChiTiet!Q$2,FALSE),0),0)</f>
        <v>1</v>
      </c>
      <c r="J82" s="26">
        <f>IFERROR(_xlfn.IFNA(VLOOKUP($C82,Dulieutho,ChiTiet!R$2,FALSE),0),0)</f>
        <v>8</v>
      </c>
      <c r="K82" s="26">
        <f>IFERROR(_xlfn.IFNA(VLOOKUP($C82,Dulieutho,ChiTiet!S$2,FALSE)*$K$3,0),0)</f>
        <v>216</v>
      </c>
      <c r="L82" s="26">
        <f>IFERROR(_xlfn.IFNA(VLOOKUP($C82,Dulieutho,ChiTiet!U$2,FALSE),0),0)</f>
        <v>12</v>
      </c>
      <c r="M82" s="26">
        <f>IFERROR(_xlfn.IFNA(VLOOKUP($C82,Dulieutho,ChiTiet!T$2,FALSE),0),0)</f>
        <v>0</v>
      </c>
      <c r="N82" s="26">
        <f>IFERROR(_xlfn.IFNA(VLOOKUP($C82,Dulieutho,ChiTiet!V$2,FALSE)*1000,0),0)</f>
        <v>6000</v>
      </c>
      <c r="O82" s="26">
        <f>IFERROR(_xlfn.IFNA(VLOOKUP($C82,Dulieutho,ChiTiet!W$2,FALSE)*$O$3,0),0)</f>
        <v>4000</v>
      </c>
      <c r="P82" s="26">
        <f>IFERROR(_xlfn.IFNA(VLOOKUP($C82,Dulieutho,ChiTiet!X$2,FALSE)*$P$3,0),0)</f>
        <v>500</v>
      </c>
      <c r="Q82" s="26">
        <f>IFERROR(_xlfn.IFNA(VLOOKUP($C82,Dulieutho,ChiTiet!AG$2,FALSE),0),0)</f>
        <v>0</v>
      </c>
      <c r="R82" s="26">
        <f>IFERROR(_xlfn.IFNA(VLOOKUP($C82,Dulieutho,ChiTiet!AH$2,FALSE),0),0)</f>
        <v>0</v>
      </c>
      <c r="S82" s="26">
        <f>IFERROR(_xlfn.IFNA(VLOOKUP($C82,Dulieutho,ChiTiet!AI$2,FALSE)*$S$3,0),0)</f>
        <v>0</v>
      </c>
    </row>
    <row r="83" spans="2:19" ht="15.6">
      <c r="B83" s="10" t="s">
        <v>219</v>
      </c>
      <c r="C83" s="9" t="s">
        <v>251</v>
      </c>
      <c r="D83" s="11" t="s">
        <v>252</v>
      </c>
      <c r="E83" s="26">
        <f>IFERROR(_xlfn.IFNA(VLOOKUP($C83,Dulieutho,ChiTiet!M$2,FALSE),0)*$E$3,0)</f>
        <v>2000</v>
      </c>
      <c r="F83" s="26">
        <f>IFERROR(_xlfn.IFNA(VLOOKUP($C83,Dulieutho,ChiTiet!N$2,FALSE),0)*$F$3,0)</f>
        <v>1000</v>
      </c>
      <c r="G83" s="26">
        <f>IFERROR(_xlfn.IFNA(VLOOKUP($C83,Dulieutho,ChiTiet!O$2,FALSE),0)*$G$3,0)</f>
        <v>256</v>
      </c>
      <c r="H83" s="26">
        <f>IFERROR(_xlfn.IFNA(VLOOKUP($C83,Dulieutho,ChiTiet!P$2,FALSE),0),0)</f>
        <v>25</v>
      </c>
      <c r="I83" s="26">
        <f>IFERROR(_xlfn.IFNA(VLOOKUP($C83,Dulieutho,ChiTiet!Q$2,FALSE),0),0)</f>
        <v>2</v>
      </c>
      <c r="J83" s="26">
        <f>IFERROR(_xlfn.IFNA(VLOOKUP($C83,Dulieutho,ChiTiet!R$2,FALSE),0),0)</f>
        <v>13</v>
      </c>
      <c r="K83" s="26">
        <f>IFERROR(_xlfn.IFNA(VLOOKUP($C83,Dulieutho,ChiTiet!S$2,FALSE)*$K$3,0),0)</f>
        <v>756</v>
      </c>
      <c r="L83" s="26">
        <f>IFERROR(_xlfn.IFNA(VLOOKUP($C83,Dulieutho,ChiTiet!U$2,FALSE),0),0)</f>
        <v>24</v>
      </c>
      <c r="M83" s="26">
        <f>IFERROR(_xlfn.IFNA(VLOOKUP($C83,Dulieutho,ChiTiet!T$2,FALSE),0),0)</f>
        <v>6</v>
      </c>
      <c r="N83" s="26">
        <f>IFERROR(_xlfn.IFNA(VLOOKUP($C83,Dulieutho,ChiTiet!V$2,FALSE)*1000,0),0)</f>
        <v>20000</v>
      </c>
      <c r="O83" s="26">
        <f>IFERROR(_xlfn.IFNA(VLOOKUP($C83,Dulieutho,ChiTiet!W$2,FALSE)*$O$3,0),0)</f>
        <v>17000</v>
      </c>
      <c r="P83" s="26">
        <f>IFERROR(_xlfn.IFNA(VLOOKUP($C83,Dulieutho,ChiTiet!X$2,FALSE)*$P$3,0),0)</f>
        <v>0</v>
      </c>
      <c r="Q83" s="26">
        <f>IFERROR(_xlfn.IFNA(VLOOKUP($C83,Dulieutho,ChiTiet!AG$2,FALSE),0),0)</f>
        <v>3000</v>
      </c>
      <c r="R83" s="26">
        <f>IFERROR(_xlfn.IFNA(VLOOKUP($C83,Dulieutho,ChiTiet!AH$2,FALSE),0),0)</f>
        <v>1</v>
      </c>
      <c r="S83" s="26">
        <f>IFERROR(_xlfn.IFNA(VLOOKUP($C83,Dulieutho,ChiTiet!AI$2,FALSE)*$S$3,0),0)</f>
        <v>3000</v>
      </c>
    </row>
    <row r="84" spans="2:19" ht="15.6">
      <c r="B84" s="10" t="s">
        <v>219</v>
      </c>
      <c r="C84" s="9" t="s">
        <v>253</v>
      </c>
      <c r="D84" s="11" t="s">
        <v>254</v>
      </c>
      <c r="E84" s="26">
        <f>IFERROR(_xlfn.IFNA(VLOOKUP($C84,Dulieutho,ChiTiet!M$2,FALSE),0)*$E$3,0)</f>
        <v>500</v>
      </c>
      <c r="F84" s="26">
        <f>IFERROR(_xlfn.IFNA(VLOOKUP($C84,Dulieutho,ChiTiet!N$2,FALSE),0)*$F$3,0)</f>
        <v>0</v>
      </c>
      <c r="G84" s="26">
        <f>IFERROR(_xlfn.IFNA(VLOOKUP($C84,Dulieutho,ChiTiet!O$2,FALSE),0)*$G$3,0)</f>
        <v>64</v>
      </c>
      <c r="H84" s="26">
        <f>IFERROR(_xlfn.IFNA(VLOOKUP($C84,Dulieutho,ChiTiet!P$2,FALSE),0),0)</f>
        <v>25</v>
      </c>
      <c r="I84" s="26">
        <f>IFERROR(_xlfn.IFNA(VLOOKUP($C84,Dulieutho,ChiTiet!Q$2,FALSE),0),0)</f>
        <v>2</v>
      </c>
      <c r="J84" s="26">
        <f>IFERROR(_xlfn.IFNA(VLOOKUP($C84,Dulieutho,ChiTiet!R$2,FALSE),0),0)</f>
        <v>18</v>
      </c>
      <c r="K84" s="26">
        <f>IFERROR(_xlfn.IFNA(VLOOKUP($C84,Dulieutho,ChiTiet!S$2,FALSE)*$K$3,0),0)</f>
        <v>864</v>
      </c>
      <c r="L84" s="26">
        <f>IFERROR(_xlfn.IFNA(VLOOKUP($C84,Dulieutho,ChiTiet!U$2,FALSE),0),0)</f>
        <v>24</v>
      </c>
      <c r="M84" s="26">
        <f>IFERROR(_xlfn.IFNA(VLOOKUP($C84,Dulieutho,ChiTiet!T$2,FALSE),0),0)</f>
        <v>3</v>
      </c>
      <c r="N84" s="26">
        <f>IFERROR(_xlfn.IFNA(VLOOKUP($C84,Dulieutho,ChiTiet!V$2,FALSE)*1000,0),0)</f>
        <v>24000</v>
      </c>
      <c r="O84" s="26">
        <f>IFERROR(_xlfn.IFNA(VLOOKUP($C84,Dulieutho,ChiTiet!W$2,FALSE)*$O$3,0),0)</f>
        <v>14000</v>
      </c>
      <c r="P84" s="26">
        <f>IFERROR(_xlfn.IFNA(VLOOKUP($C84,Dulieutho,ChiTiet!X$2,FALSE)*$P$3,0),0)</f>
        <v>0</v>
      </c>
      <c r="Q84" s="26">
        <f>IFERROR(_xlfn.IFNA(VLOOKUP($C84,Dulieutho,ChiTiet!AG$2,FALSE),0),0)</f>
        <v>2000</v>
      </c>
      <c r="R84" s="26">
        <f>IFERROR(_xlfn.IFNA(VLOOKUP($C84,Dulieutho,ChiTiet!AH$2,FALSE),0),0)</f>
        <v>0</v>
      </c>
      <c r="S84" s="26">
        <f>IFERROR(_xlfn.IFNA(VLOOKUP($C84,Dulieutho,ChiTiet!AI$2,FALSE)*$S$3,0),0)</f>
        <v>0</v>
      </c>
    </row>
    <row r="85" spans="2:19" ht="15.6">
      <c r="B85" s="10" t="s">
        <v>219</v>
      </c>
      <c r="C85" s="9" t="s">
        <v>255</v>
      </c>
      <c r="D85" s="11" t="s">
        <v>256</v>
      </c>
      <c r="E85" s="26">
        <f>IFERROR(_xlfn.IFNA(VLOOKUP($C85,Dulieutho,ChiTiet!M$2,FALSE),0)*$E$3,0)</f>
        <v>0</v>
      </c>
      <c r="F85" s="26">
        <f>IFERROR(_xlfn.IFNA(VLOOKUP($C85,Dulieutho,ChiTiet!N$2,FALSE),0)*$F$3,0)</f>
        <v>2000</v>
      </c>
      <c r="G85" s="26">
        <f>IFERROR(_xlfn.IFNA(VLOOKUP($C85,Dulieutho,ChiTiet!O$2,FALSE),0)*$G$3,0)</f>
        <v>64</v>
      </c>
      <c r="H85" s="26">
        <f>IFERROR(_xlfn.IFNA(VLOOKUP($C85,Dulieutho,ChiTiet!P$2,FALSE),0),0)</f>
        <v>0</v>
      </c>
      <c r="I85" s="26">
        <f>IFERROR(_xlfn.IFNA(VLOOKUP($C85,Dulieutho,ChiTiet!Q$2,FALSE),0),0)</f>
        <v>3</v>
      </c>
      <c r="J85" s="26">
        <f>IFERROR(_xlfn.IFNA(VLOOKUP($C85,Dulieutho,ChiTiet!R$2,FALSE),0),0)</f>
        <v>2.5</v>
      </c>
      <c r="K85" s="26">
        <f>IFERROR(_xlfn.IFNA(VLOOKUP($C85,Dulieutho,ChiTiet!S$2,FALSE)*$K$3,0),0)</f>
        <v>432</v>
      </c>
      <c r="L85" s="26">
        <f>IFERROR(_xlfn.IFNA(VLOOKUP($C85,Dulieutho,ChiTiet!U$2,FALSE),0),0)</f>
        <v>24</v>
      </c>
      <c r="M85" s="26">
        <f>IFERROR(_xlfn.IFNA(VLOOKUP($C85,Dulieutho,ChiTiet!T$2,FALSE),0),0)</f>
        <v>2</v>
      </c>
      <c r="N85" s="26">
        <f>IFERROR(_xlfn.IFNA(VLOOKUP($C85,Dulieutho,ChiTiet!V$2,FALSE)*1000,0),0)</f>
        <v>14000</v>
      </c>
      <c r="O85" s="26">
        <f>IFERROR(_xlfn.IFNA(VLOOKUP($C85,Dulieutho,ChiTiet!W$2,FALSE)*$O$3,0),0)</f>
        <v>6000</v>
      </c>
      <c r="P85" s="26">
        <f>IFERROR(_xlfn.IFNA(VLOOKUP($C85,Dulieutho,ChiTiet!X$2,FALSE)*$P$3,0),0)</f>
        <v>1000</v>
      </c>
      <c r="Q85" s="26">
        <f>IFERROR(_xlfn.IFNA(VLOOKUP($C85,Dulieutho,ChiTiet!AG$2,FALSE),0),0)</f>
        <v>1000</v>
      </c>
      <c r="R85" s="26">
        <f>IFERROR(_xlfn.IFNA(VLOOKUP($C85,Dulieutho,ChiTiet!AH$2,FALSE),0),0)</f>
        <v>1</v>
      </c>
      <c r="S85" s="26">
        <f>IFERROR(_xlfn.IFNA(VLOOKUP($C85,Dulieutho,ChiTiet!AI$2,FALSE)*$S$3,0),0)</f>
        <v>1000</v>
      </c>
    </row>
    <row r="86" spans="2:19" ht="15.6">
      <c r="B86" s="10" t="s">
        <v>219</v>
      </c>
      <c r="C86" s="9" t="s">
        <v>257</v>
      </c>
      <c r="D86" s="11" t="s">
        <v>258</v>
      </c>
      <c r="E86" s="26">
        <f>IFERROR(_xlfn.IFNA(VLOOKUP($C86,Dulieutho,ChiTiet!M$2,FALSE),0)*$E$3,0)</f>
        <v>0</v>
      </c>
      <c r="F86" s="26">
        <f>IFERROR(_xlfn.IFNA(VLOOKUP($C86,Dulieutho,ChiTiet!N$2,FALSE),0)*$F$3,0)</f>
        <v>0</v>
      </c>
      <c r="G86" s="26">
        <f>IFERROR(_xlfn.IFNA(VLOOKUP($C86,Dulieutho,ChiTiet!O$2,FALSE),0)*$G$3,0)</f>
        <v>0</v>
      </c>
      <c r="H86" s="26">
        <f>IFERROR(_xlfn.IFNA(VLOOKUP($C86,Dulieutho,ChiTiet!P$2,FALSE),0),0)</f>
        <v>0</v>
      </c>
      <c r="I86" s="26">
        <f>IFERROR(_xlfn.IFNA(VLOOKUP($C86,Dulieutho,ChiTiet!Q$2,FALSE),0),0)</f>
        <v>1</v>
      </c>
      <c r="J86" s="26">
        <f>IFERROR(_xlfn.IFNA(VLOOKUP($C86,Dulieutho,ChiTiet!R$2,FALSE),0),0)</f>
        <v>8</v>
      </c>
      <c r="K86" s="26">
        <f>IFERROR(_xlfn.IFNA(VLOOKUP($C86,Dulieutho,ChiTiet!S$2,FALSE)*$K$3,0),0)</f>
        <v>540</v>
      </c>
      <c r="L86" s="26">
        <f>IFERROR(_xlfn.IFNA(VLOOKUP($C86,Dulieutho,ChiTiet!U$2,FALSE),0),0)</f>
        <v>12</v>
      </c>
      <c r="M86" s="26">
        <f>IFERROR(_xlfn.IFNA(VLOOKUP($C86,Dulieutho,ChiTiet!T$2,FALSE),0),0)</f>
        <v>0</v>
      </c>
      <c r="N86" s="26">
        <f>IFERROR(_xlfn.IFNA(VLOOKUP($C86,Dulieutho,ChiTiet!V$2,FALSE)*1000,0),0)</f>
        <v>10000</v>
      </c>
      <c r="O86" s="26">
        <f>IFERROR(_xlfn.IFNA(VLOOKUP($C86,Dulieutho,ChiTiet!W$2,FALSE)*$O$3,0),0)</f>
        <v>6000</v>
      </c>
      <c r="P86" s="26">
        <f>IFERROR(_xlfn.IFNA(VLOOKUP($C86,Dulieutho,ChiTiet!X$2,FALSE)*$P$3,0),0)</f>
        <v>0</v>
      </c>
      <c r="Q86" s="26">
        <f>IFERROR(_xlfn.IFNA(VLOOKUP($C86,Dulieutho,ChiTiet!AG$2,FALSE),0),0)</f>
        <v>0</v>
      </c>
      <c r="R86" s="26">
        <f>IFERROR(_xlfn.IFNA(VLOOKUP($C86,Dulieutho,ChiTiet!AH$2,FALSE),0),0)</f>
        <v>1</v>
      </c>
      <c r="S86" s="26">
        <f>IFERROR(_xlfn.IFNA(VLOOKUP($C86,Dulieutho,ChiTiet!AI$2,FALSE)*$S$3,0),0)</f>
        <v>0</v>
      </c>
    </row>
    <row r="87" spans="2:19" ht="15.6">
      <c r="B87" s="10" t="s">
        <v>219</v>
      </c>
      <c r="C87" s="9" t="s">
        <v>259</v>
      </c>
      <c r="D87" s="11" t="s">
        <v>260</v>
      </c>
      <c r="E87" s="26">
        <f>IFERROR(_xlfn.IFNA(VLOOKUP($C87,Dulieutho,ChiTiet!M$2,FALSE),0)*$E$3,0)</f>
        <v>1500</v>
      </c>
      <c r="F87" s="26">
        <f>IFERROR(_xlfn.IFNA(VLOOKUP($C87,Dulieutho,ChiTiet!N$2,FALSE),0)*$F$3,0)</f>
        <v>1000</v>
      </c>
      <c r="G87" s="26">
        <f>IFERROR(_xlfn.IFNA(VLOOKUP($C87,Dulieutho,ChiTiet!O$2,FALSE),0)*$G$3,0)</f>
        <v>64</v>
      </c>
      <c r="H87" s="26">
        <f>IFERROR(_xlfn.IFNA(VLOOKUP($C87,Dulieutho,ChiTiet!P$2,FALSE),0),0)</f>
        <v>25</v>
      </c>
      <c r="I87" s="26">
        <f>IFERROR(_xlfn.IFNA(VLOOKUP($C87,Dulieutho,ChiTiet!Q$2,FALSE),0),0)</f>
        <v>2</v>
      </c>
      <c r="J87" s="26">
        <f>IFERROR(_xlfn.IFNA(VLOOKUP($C87,Dulieutho,ChiTiet!R$2,FALSE),0),0)</f>
        <v>11.5</v>
      </c>
      <c r="K87" s="26">
        <f>IFERROR(_xlfn.IFNA(VLOOKUP($C87,Dulieutho,ChiTiet!S$2,FALSE)*$K$3,0),0)</f>
        <v>648</v>
      </c>
      <c r="L87" s="26">
        <f>IFERROR(_xlfn.IFNA(VLOOKUP($C87,Dulieutho,ChiTiet!U$2,FALSE),0),0)</f>
        <v>24</v>
      </c>
      <c r="M87" s="26">
        <f>IFERROR(_xlfn.IFNA(VLOOKUP($C87,Dulieutho,ChiTiet!T$2,FALSE),0),0)</f>
        <v>0</v>
      </c>
      <c r="N87" s="26">
        <f>IFERROR(_xlfn.IFNA(VLOOKUP($C87,Dulieutho,ChiTiet!V$2,FALSE)*1000,0),0)</f>
        <v>14000</v>
      </c>
      <c r="O87" s="26">
        <f>IFERROR(_xlfn.IFNA(VLOOKUP($C87,Dulieutho,ChiTiet!W$2,FALSE)*$O$3,0),0)</f>
        <v>5000</v>
      </c>
      <c r="P87" s="26">
        <f>IFERROR(_xlfn.IFNA(VLOOKUP($C87,Dulieutho,ChiTiet!X$2,FALSE)*$P$3,0),0)</f>
        <v>500</v>
      </c>
      <c r="Q87" s="26">
        <f>IFERROR(_xlfn.IFNA(VLOOKUP($C87,Dulieutho,ChiTiet!AG$2,FALSE),0),0)</f>
        <v>1000</v>
      </c>
      <c r="R87" s="26">
        <f>IFERROR(_xlfn.IFNA(VLOOKUP($C87,Dulieutho,ChiTiet!AH$2,FALSE),0),0)</f>
        <v>0</v>
      </c>
      <c r="S87" s="26">
        <f>IFERROR(_xlfn.IFNA(VLOOKUP($C87,Dulieutho,ChiTiet!AI$2,FALSE)*$S$3,0),0)</f>
        <v>1000</v>
      </c>
    </row>
    <row r="88" spans="2:19" ht="15.6">
      <c r="B88" s="14" t="s">
        <v>219</v>
      </c>
      <c r="C88" s="13" t="s">
        <v>261</v>
      </c>
      <c r="D88" s="15" t="s">
        <v>262</v>
      </c>
      <c r="E88" s="26">
        <f>IFERROR(_xlfn.IFNA(VLOOKUP($C88,Dulieutho,ChiTiet!M$2,FALSE),0)*$E$3,0)</f>
        <v>0</v>
      </c>
      <c r="F88" s="26">
        <f>IFERROR(_xlfn.IFNA(VLOOKUP($C88,Dulieutho,ChiTiet!N$2,FALSE),0)*$F$3,0)</f>
        <v>1000</v>
      </c>
      <c r="G88" s="26">
        <f>IFERROR(_xlfn.IFNA(VLOOKUP($C88,Dulieutho,ChiTiet!O$2,FALSE),0)*$G$3,0)</f>
        <v>32</v>
      </c>
      <c r="H88" s="26">
        <f>IFERROR(_xlfn.IFNA(VLOOKUP($C88,Dulieutho,ChiTiet!P$2,FALSE),0),0)</f>
        <v>25</v>
      </c>
      <c r="I88" s="26">
        <f>IFERROR(_xlfn.IFNA(VLOOKUP($C88,Dulieutho,ChiTiet!Q$2,FALSE),0),0)</f>
        <v>2</v>
      </c>
      <c r="J88" s="26">
        <f>IFERROR(_xlfn.IFNA(VLOOKUP($C88,Dulieutho,ChiTiet!R$2,FALSE),0),0)</f>
        <v>6</v>
      </c>
      <c r="K88" s="26">
        <f>IFERROR(_xlfn.IFNA(VLOOKUP($C88,Dulieutho,ChiTiet!S$2,FALSE)*$K$3,0),0)</f>
        <v>324</v>
      </c>
      <c r="L88" s="26">
        <f>IFERROR(_xlfn.IFNA(VLOOKUP($C88,Dulieutho,ChiTiet!U$2,FALSE),0),0)</f>
        <v>12</v>
      </c>
      <c r="M88" s="26">
        <f>IFERROR(_xlfn.IFNA(VLOOKUP($C88,Dulieutho,ChiTiet!T$2,FALSE),0),0)</f>
        <v>0</v>
      </c>
      <c r="N88" s="26">
        <f>IFERROR(_xlfn.IFNA(VLOOKUP($C88,Dulieutho,ChiTiet!V$2,FALSE)*1000,0),0)</f>
        <v>6000</v>
      </c>
      <c r="O88" s="26">
        <f>IFERROR(_xlfn.IFNA(VLOOKUP($C88,Dulieutho,ChiTiet!W$2,FALSE)*$O$3,0),0)</f>
        <v>2000</v>
      </c>
      <c r="P88" s="26">
        <f>IFERROR(_xlfn.IFNA(VLOOKUP($C88,Dulieutho,ChiTiet!X$2,FALSE)*$P$3,0),0)</f>
        <v>0</v>
      </c>
      <c r="Q88" s="26">
        <f>IFERROR(_xlfn.IFNA(VLOOKUP($C88,Dulieutho,ChiTiet!AG$2,FALSE),0),0)</f>
        <v>0</v>
      </c>
      <c r="R88" s="26">
        <f>IFERROR(_xlfn.IFNA(VLOOKUP($C88,Dulieutho,ChiTiet!AH$2,FALSE),0),0)</f>
        <v>0</v>
      </c>
      <c r="S88" s="26">
        <f>IFERROR(_xlfn.IFNA(VLOOKUP($C88,Dulieutho,ChiTiet!AI$2,FALSE)*$S$3,0),0)</f>
        <v>0</v>
      </c>
    </row>
    <row r="89" spans="2:19" ht="15.6">
      <c r="B89" s="10" t="s">
        <v>219</v>
      </c>
      <c r="C89" s="9" t="s">
        <v>263</v>
      </c>
      <c r="D89" s="11" t="s">
        <v>264</v>
      </c>
      <c r="E89" s="26">
        <f>IFERROR(_xlfn.IFNA(VLOOKUP($C89,Dulieutho,ChiTiet!M$2,FALSE),0)*$E$3,0)</f>
        <v>0</v>
      </c>
      <c r="F89" s="26">
        <f>IFERROR(_xlfn.IFNA(VLOOKUP($C89,Dulieutho,ChiTiet!N$2,FALSE),0)*$F$3,0)</f>
        <v>0</v>
      </c>
      <c r="G89" s="26">
        <f>IFERROR(_xlfn.IFNA(VLOOKUP($C89,Dulieutho,ChiTiet!O$2,FALSE),0)*$G$3,0)</f>
        <v>32</v>
      </c>
      <c r="H89" s="26">
        <f>IFERROR(_xlfn.IFNA(VLOOKUP($C89,Dulieutho,ChiTiet!P$2,FALSE),0),0)</f>
        <v>0</v>
      </c>
      <c r="I89" s="26">
        <f>IFERROR(_xlfn.IFNA(VLOOKUP($C89,Dulieutho,ChiTiet!Q$2,FALSE),0),0)</f>
        <v>1</v>
      </c>
      <c r="J89" s="26">
        <f>IFERROR(_xlfn.IFNA(VLOOKUP($C89,Dulieutho,ChiTiet!R$2,FALSE),0),0)</f>
        <v>1</v>
      </c>
      <c r="K89" s="26">
        <f>IFERROR(_xlfn.IFNA(VLOOKUP($C89,Dulieutho,ChiTiet!S$2,FALSE)*$K$3,0),0)</f>
        <v>108</v>
      </c>
      <c r="L89" s="26">
        <f>IFERROR(_xlfn.IFNA(VLOOKUP($C89,Dulieutho,ChiTiet!U$2,FALSE),0),0)</f>
        <v>0</v>
      </c>
      <c r="M89" s="26">
        <f>IFERROR(_xlfn.IFNA(VLOOKUP($C89,Dulieutho,ChiTiet!T$2,FALSE),0),0)</f>
        <v>3</v>
      </c>
      <c r="N89" s="26">
        <f>IFERROR(_xlfn.IFNA(VLOOKUP($C89,Dulieutho,ChiTiet!V$2,FALSE)*1000,0),0)</f>
        <v>6000</v>
      </c>
      <c r="O89" s="26">
        <f>IFERROR(_xlfn.IFNA(VLOOKUP($C89,Dulieutho,ChiTiet!W$2,FALSE)*$O$3,0),0)</f>
        <v>4000</v>
      </c>
      <c r="P89" s="26">
        <f>IFERROR(_xlfn.IFNA(VLOOKUP($C89,Dulieutho,ChiTiet!X$2,FALSE)*$P$3,0),0)</f>
        <v>0</v>
      </c>
      <c r="Q89" s="26">
        <f>IFERROR(_xlfn.IFNA(VLOOKUP($C89,Dulieutho,ChiTiet!AG$2,FALSE),0),0)</f>
        <v>1000</v>
      </c>
      <c r="R89" s="26">
        <f>IFERROR(_xlfn.IFNA(VLOOKUP($C89,Dulieutho,ChiTiet!AH$2,FALSE),0),0)</f>
        <v>0</v>
      </c>
      <c r="S89" s="26">
        <f>IFERROR(_xlfn.IFNA(VLOOKUP($C89,Dulieutho,ChiTiet!AI$2,FALSE)*$S$3,0),0)</f>
        <v>1000</v>
      </c>
    </row>
    <row r="90" spans="2:19" ht="15.6">
      <c r="B90" s="10" t="s">
        <v>219</v>
      </c>
      <c r="C90" s="9" t="s">
        <v>265</v>
      </c>
      <c r="D90" s="11" t="s">
        <v>266</v>
      </c>
      <c r="E90" s="26">
        <f>IFERROR(_xlfn.IFNA(VLOOKUP($C90,Dulieutho,ChiTiet!M$2,FALSE),0)*$E$3,0)</f>
        <v>0</v>
      </c>
      <c r="F90" s="26">
        <f>IFERROR(_xlfn.IFNA(VLOOKUP($C90,Dulieutho,ChiTiet!N$2,FALSE),0)*$F$3,0)</f>
        <v>0</v>
      </c>
      <c r="G90" s="26">
        <f>IFERROR(_xlfn.IFNA(VLOOKUP($C90,Dulieutho,ChiTiet!O$2,FALSE),0)*$G$3,0)</f>
        <v>32</v>
      </c>
      <c r="H90" s="26">
        <f>IFERROR(_xlfn.IFNA(VLOOKUP($C90,Dulieutho,ChiTiet!P$2,FALSE),0),0)</f>
        <v>0</v>
      </c>
      <c r="I90" s="26">
        <f>IFERROR(_xlfn.IFNA(VLOOKUP($C90,Dulieutho,ChiTiet!Q$2,FALSE),0),0)</f>
        <v>4</v>
      </c>
      <c r="J90" s="26">
        <f>IFERROR(_xlfn.IFNA(VLOOKUP($C90,Dulieutho,ChiTiet!R$2,FALSE),0),0)</f>
        <v>3</v>
      </c>
      <c r="K90" s="26">
        <f>IFERROR(_xlfn.IFNA(VLOOKUP($C90,Dulieutho,ChiTiet!S$2,FALSE)*$K$3,0),0)</f>
        <v>108</v>
      </c>
      <c r="L90" s="26">
        <f>IFERROR(_xlfn.IFNA(VLOOKUP($C90,Dulieutho,ChiTiet!U$2,FALSE),0),0)</f>
        <v>12</v>
      </c>
      <c r="M90" s="26">
        <f>IFERROR(_xlfn.IFNA(VLOOKUP($C90,Dulieutho,ChiTiet!T$2,FALSE),0),0)</f>
        <v>0</v>
      </c>
      <c r="N90" s="26">
        <f>IFERROR(_xlfn.IFNA(VLOOKUP($C90,Dulieutho,ChiTiet!V$2,FALSE)*1000,0),0)</f>
        <v>8000</v>
      </c>
      <c r="O90" s="26">
        <f>IFERROR(_xlfn.IFNA(VLOOKUP($C90,Dulieutho,ChiTiet!W$2,FALSE)*$O$3,0),0)</f>
        <v>4000</v>
      </c>
      <c r="P90" s="26">
        <f>IFERROR(_xlfn.IFNA(VLOOKUP($C90,Dulieutho,ChiTiet!X$2,FALSE)*$P$3,0),0)</f>
        <v>500</v>
      </c>
      <c r="Q90" s="26">
        <f>IFERROR(_xlfn.IFNA(VLOOKUP($C90,Dulieutho,ChiTiet!AG$2,FALSE),0),0)</f>
        <v>1000</v>
      </c>
      <c r="R90" s="26">
        <f>IFERROR(_xlfn.IFNA(VLOOKUP($C90,Dulieutho,ChiTiet!AH$2,FALSE),0),0)</f>
        <v>1</v>
      </c>
      <c r="S90" s="26">
        <f>IFERROR(_xlfn.IFNA(VLOOKUP($C90,Dulieutho,ChiTiet!AI$2,FALSE)*$S$3,0),0)</f>
        <v>1250</v>
      </c>
    </row>
    <row r="91" spans="2:19" ht="15.6">
      <c r="B91" s="10" t="s">
        <v>219</v>
      </c>
      <c r="C91" s="9" t="s">
        <v>267</v>
      </c>
      <c r="D91" s="11" t="s">
        <v>268</v>
      </c>
      <c r="E91" s="26">
        <f>IFERROR(_xlfn.IFNA(VLOOKUP($C91,Dulieutho,ChiTiet!M$2,FALSE),0)*$E$3,0)</f>
        <v>0</v>
      </c>
      <c r="F91" s="26">
        <f>IFERROR(_xlfn.IFNA(VLOOKUP($C91,Dulieutho,ChiTiet!N$2,FALSE),0)*$F$3,0)</f>
        <v>1000</v>
      </c>
      <c r="G91" s="26">
        <f>IFERROR(_xlfn.IFNA(VLOOKUP($C91,Dulieutho,ChiTiet!O$2,FALSE),0)*$G$3,0)</f>
        <v>0</v>
      </c>
      <c r="H91" s="26">
        <f>IFERROR(_xlfn.IFNA(VLOOKUP($C91,Dulieutho,ChiTiet!P$2,FALSE),0),0)</f>
        <v>25</v>
      </c>
      <c r="I91" s="26">
        <f>IFERROR(_xlfn.IFNA(VLOOKUP($C91,Dulieutho,ChiTiet!Q$2,FALSE),0),0)</f>
        <v>2</v>
      </c>
      <c r="J91" s="26">
        <f>IFERROR(_xlfn.IFNA(VLOOKUP($C91,Dulieutho,ChiTiet!R$2,FALSE),0),0)</f>
        <v>0</v>
      </c>
      <c r="K91" s="26">
        <f>IFERROR(_xlfn.IFNA(VLOOKUP($C91,Dulieutho,ChiTiet!S$2,FALSE)*$K$3,0),0)</f>
        <v>432</v>
      </c>
      <c r="L91" s="26">
        <f>IFERROR(_xlfn.IFNA(VLOOKUP($C91,Dulieutho,ChiTiet!U$2,FALSE),0),0)</f>
        <v>0</v>
      </c>
      <c r="M91" s="26">
        <f>IFERROR(_xlfn.IFNA(VLOOKUP($C91,Dulieutho,ChiTiet!T$2,FALSE),0),0)</f>
        <v>0</v>
      </c>
      <c r="N91" s="26">
        <f>IFERROR(_xlfn.IFNA(VLOOKUP($C91,Dulieutho,ChiTiet!V$2,FALSE)*1000,0),0)</f>
        <v>6000</v>
      </c>
      <c r="O91" s="26">
        <f>IFERROR(_xlfn.IFNA(VLOOKUP($C91,Dulieutho,ChiTiet!W$2,FALSE)*$O$3,0),0)</f>
        <v>3000</v>
      </c>
      <c r="P91" s="26">
        <f>IFERROR(_xlfn.IFNA(VLOOKUP($C91,Dulieutho,ChiTiet!X$2,FALSE)*$P$3,0),0)</f>
        <v>0</v>
      </c>
      <c r="Q91" s="26">
        <f>IFERROR(_xlfn.IFNA(VLOOKUP($C91,Dulieutho,ChiTiet!AG$2,FALSE),0),0)</f>
        <v>1000</v>
      </c>
      <c r="R91" s="26">
        <f>IFERROR(_xlfn.IFNA(VLOOKUP($C91,Dulieutho,ChiTiet!AH$2,FALSE),0),0)</f>
        <v>0</v>
      </c>
      <c r="S91" s="26">
        <f>IFERROR(_xlfn.IFNA(VLOOKUP($C91,Dulieutho,ChiTiet!AI$2,FALSE)*$S$3,0),0)</f>
        <v>1000</v>
      </c>
    </row>
    <row r="92" spans="2:19" ht="15.6">
      <c r="B92" s="10" t="s">
        <v>219</v>
      </c>
      <c r="C92" s="9" t="s">
        <v>269</v>
      </c>
      <c r="D92" s="11" t="s">
        <v>270</v>
      </c>
      <c r="E92" s="26">
        <f>IFERROR(_xlfn.IFNA(VLOOKUP($C92,Dulieutho,ChiTiet!M$2,FALSE),0)*$E$3,0)</f>
        <v>0</v>
      </c>
      <c r="F92" s="26">
        <f>IFERROR(_xlfn.IFNA(VLOOKUP($C92,Dulieutho,ChiTiet!N$2,FALSE),0)*$F$3,0)</f>
        <v>1000</v>
      </c>
      <c r="G92" s="26">
        <f>IFERROR(_xlfn.IFNA(VLOOKUP($C92,Dulieutho,ChiTiet!O$2,FALSE),0)*$G$3,0)</f>
        <v>64</v>
      </c>
      <c r="H92" s="26">
        <f>IFERROR(_xlfn.IFNA(VLOOKUP($C92,Dulieutho,ChiTiet!P$2,FALSE),0),0)</f>
        <v>25</v>
      </c>
      <c r="I92" s="26">
        <f>IFERROR(_xlfn.IFNA(VLOOKUP($C92,Dulieutho,ChiTiet!Q$2,FALSE),0),0)</f>
        <v>1</v>
      </c>
      <c r="J92" s="26">
        <f>IFERROR(_xlfn.IFNA(VLOOKUP($C92,Dulieutho,ChiTiet!R$2,FALSE),0),0)</f>
        <v>1.5</v>
      </c>
      <c r="K92" s="26">
        <f>IFERROR(_xlfn.IFNA(VLOOKUP($C92,Dulieutho,ChiTiet!S$2,FALSE)*$K$3,0),0)</f>
        <v>324</v>
      </c>
      <c r="L92" s="26">
        <f>IFERROR(_xlfn.IFNA(VLOOKUP($C92,Dulieutho,ChiTiet!U$2,FALSE),0),0)</f>
        <v>12</v>
      </c>
      <c r="M92" s="26">
        <f>IFERROR(_xlfn.IFNA(VLOOKUP($C92,Dulieutho,ChiTiet!T$2,FALSE),0),0)</f>
        <v>2</v>
      </c>
      <c r="N92" s="26">
        <f>IFERROR(_xlfn.IFNA(VLOOKUP($C92,Dulieutho,ChiTiet!V$2,FALSE)*1000,0),0)</f>
        <v>4000</v>
      </c>
      <c r="O92" s="26">
        <f>IFERROR(_xlfn.IFNA(VLOOKUP($C92,Dulieutho,ChiTiet!W$2,FALSE)*$O$3,0),0)</f>
        <v>3000</v>
      </c>
      <c r="P92" s="26">
        <f>IFERROR(_xlfn.IFNA(VLOOKUP($C92,Dulieutho,ChiTiet!X$2,FALSE)*$P$3,0),0)</f>
        <v>1000</v>
      </c>
      <c r="Q92" s="26">
        <f>IFERROR(_xlfn.IFNA(VLOOKUP($C92,Dulieutho,ChiTiet!AG$2,FALSE),0),0)</f>
        <v>1000</v>
      </c>
      <c r="R92" s="26">
        <f>IFERROR(_xlfn.IFNA(VLOOKUP($C92,Dulieutho,ChiTiet!AH$2,FALSE),0),0)</f>
        <v>1</v>
      </c>
      <c r="S92" s="26">
        <f>IFERROR(_xlfn.IFNA(VLOOKUP($C92,Dulieutho,ChiTiet!AI$2,FALSE)*$S$3,0),0)</f>
        <v>1000</v>
      </c>
    </row>
    <row r="93" spans="2:19" ht="15.6">
      <c r="B93" s="10" t="s">
        <v>219</v>
      </c>
      <c r="C93" s="9" t="s">
        <v>271</v>
      </c>
      <c r="D93" s="11" t="s">
        <v>272</v>
      </c>
      <c r="E93" s="26">
        <f>IFERROR(_xlfn.IFNA(VLOOKUP($C93,Dulieutho,ChiTiet!M$2,FALSE),0)*$E$3,0)</f>
        <v>500</v>
      </c>
      <c r="F93" s="26">
        <f>IFERROR(_xlfn.IFNA(VLOOKUP($C93,Dulieutho,ChiTiet!N$2,FALSE),0)*$F$3,0)</f>
        <v>1000</v>
      </c>
      <c r="G93" s="26">
        <f>IFERROR(_xlfn.IFNA(VLOOKUP($C93,Dulieutho,ChiTiet!O$2,FALSE),0)*$G$3,0)</f>
        <v>96</v>
      </c>
      <c r="H93" s="26">
        <f>IFERROR(_xlfn.IFNA(VLOOKUP($C93,Dulieutho,ChiTiet!P$2,FALSE),0),0)</f>
        <v>25</v>
      </c>
      <c r="I93" s="26">
        <f>IFERROR(_xlfn.IFNA(VLOOKUP($C93,Dulieutho,ChiTiet!Q$2,FALSE),0),0)</f>
        <v>1</v>
      </c>
      <c r="J93" s="26">
        <f>IFERROR(_xlfn.IFNA(VLOOKUP($C93,Dulieutho,ChiTiet!R$2,FALSE),0),0)</f>
        <v>9</v>
      </c>
      <c r="K93" s="26">
        <f>IFERROR(_xlfn.IFNA(VLOOKUP($C93,Dulieutho,ChiTiet!S$2,FALSE)*$K$3,0),0)</f>
        <v>540</v>
      </c>
      <c r="L93" s="26">
        <f>IFERROR(_xlfn.IFNA(VLOOKUP($C93,Dulieutho,ChiTiet!U$2,FALSE),0),0)</f>
        <v>12</v>
      </c>
      <c r="M93" s="26">
        <f>IFERROR(_xlfn.IFNA(VLOOKUP($C93,Dulieutho,ChiTiet!T$2,FALSE),0),0)</f>
        <v>0</v>
      </c>
      <c r="N93" s="26">
        <f>IFERROR(_xlfn.IFNA(VLOOKUP($C93,Dulieutho,ChiTiet!V$2,FALSE)*1000,0),0)</f>
        <v>6000</v>
      </c>
      <c r="O93" s="26">
        <f>IFERROR(_xlfn.IFNA(VLOOKUP($C93,Dulieutho,ChiTiet!W$2,FALSE)*$O$3,0),0)</f>
        <v>3000</v>
      </c>
      <c r="P93" s="26">
        <f>IFERROR(_xlfn.IFNA(VLOOKUP($C93,Dulieutho,ChiTiet!X$2,FALSE)*$P$3,0),0)</f>
        <v>500</v>
      </c>
      <c r="Q93" s="26">
        <f>IFERROR(_xlfn.IFNA(VLOOKUP($C93,Dulieutho,ChiTiet!AG$2,FALSE),0),0)</f>
        <v>2000</v>
      </c>
      <c r="R93" s="26">
        <f>IFERROR(_xlfn.IFNA(VLOOKUP($C93,Dulieutho,ChiTiet!AH$2,FALSE),0),0)</f>
        <v>0</v>
      </c>
      <c r="S93" s="26">
        <f>IFERROR(_xlfn.IFNA(VLOOKUP($C93,Dulieutho,ChiTiet!AI$2,FALSE)*$S$3,0),0)</f>
        <v>2000</v>
      </c>
    </row>
    <row r="94" spans="2:19" ht="15.6">
      <c r="B94" s="10" t="s">
        <v>219</v>
      </c>
      <c r="C94" s="9" t="s">
        <v>273</v>
      </c>
      <c r="D94" s="11" t="s">
        <v>274</v>
      </c>
      <c r="E94" s="26">
        <f>IFERROR(_xlfn.IFNA(VLOOKUP($C94,Dulieutho,ChiTiet!M$2,FALSE),0)*$E$3,0)</f>
        <v>500</v>
      </c>
      <c r="F94" s="26">
        <f>IFERROR(_xlfn.IFNA(VLOOKUP($C94,Dulieutho,ChiTiet!N$2,FALSE),0)*$F$3,0)</f>
        <v>1000</v>
      </c>
      <c r="G94" s="26">
        <f>IFERROR(_xlfn.IFNA(VLOOKUP($C94,Dulieutho,ChiTiet!O$2,FALSE),0)*$G$3,0)</f>
        <v>32</v>
      </c>
      <c r="H94" s="26">
        <f>IFERROR(_xlfn.IFNA(VLOOKUP($C94,Dulieutho,ChiTiet!P$2,FALSE),0),0)</f>
        <v>25</v>
      </c>
      <c r="I94" s="26">
        <f>IFERROR(_xlfn.IFNA(VLOOKUP($C94,Dulieutho,ChiTiet!Q$2,FALSE),0),0)</f>
        <v>5</v>
      </c>
      <c r="J94" s="26">
        <f>IFERROR(_xlfn.IFNA(VLOOKUP($C94,Dulieutho,ChiTiet!R$2,FALSE),0),0)</f>
        <v>15</v>
      </c>
      <c r="K94" s="26">
        <f>IFERROR(_xlfn.IFNA(VLOOKUP($C94,Dulieutho,ChiTiet!S$2,FALSE)*$K$3,0),0)</f>
        <v>432</v>
      </c>
      <c r="L94" s="26">
        <f>IFERROR(_xlfn.IFNA(VLOOKUP($C94,Dulieutho,ChiTiet!U$2,FALSE),0),0)</f>
        <v>12</v>
      </c>
      <c r="M94" s="26">
        <f>IFERROR(_xlfn.IFNA(VLOOKUP($C94,Dulieutho,ChiTiet!T$2,FALSE),0),0)</f>
        <v>0</v>
      </c>
      <c r="N94" s="26">
        <f>IFERROR(_xlfn.IFNA(VLOOKUP($C94,Dulieutho,ChiTiet!V$2,FALSE)*1000,0),0)</f>
        <v>14000</v>
      </c>
      <c r="O94" s="26">
        <f>IFERROR(_xlfn.IFNA(VLOOKUP($C94,Dulieutho,ChiTiet!W$2,FALSE)*$O$3,0),0)</f>
        <v>13000</v>
      </c>
      <c r="P94" s="26">
        <f>IFERROR(_xlfn.IFNA(VLOOKUP($C94,Dulieutho,ChiTiet!X$2,FALSE)*$P$3,0),0)</f>
        <v>1000</v>
      </c>
      <c r="Q94" s="26">
        <f>IFERROR(_xlfn.IFNA(VLOOKUP($C94,Dulieutho,ChiTiet!AG$2,FALSE),0),0)</f>
        <v>2000</v>
      </c>
      <c r="R94" s="26">
        <f>IFERROR(_xlfn.IFNA(VLOOKUP($C94,Dulieutho,ChiTiet!AH$2,FALSE),0),0)</f>
        <v>1</v>
      </c>
      <c r="S94" s="26">
        <f>IFERROR(_xlfn.IFNA(VLOOKUP($C94,Dulieutho,ChiTiet!AI$2,FALSE)*$S$3,0),0)</f>
        <v>2000</v>
      </c>
    </row>
    <row r="95" spans="2:19" ht="15.6">
      <c r="B95" s="10" t="s">
        <v>219</v>
      </c>
      <c r="C95" s="9" t="s">
        <v>275</v>
      </c>
      <c r="D95" s="11" t="s">
        <v>276</v>
      </c>
      <c r="E95" s="26">
        <f>IFERROR(_xlfn.IFNA(VLOOKUP($C95,Dulieutho,ChiTiet!M$2,FALSE),0)*$E$3,0)</f>
        <v>1000</v>
      </c>
      <c r="F95" s="26">
        <f>IFERROR(_xlfn.IFNA(VLOOKUP($C95,Dulieutho,ChiTiet!N$2,FALSE),0)*$F$3,0)</f>
        <v>0</v>
      </c>
      <c r="G95" s="26">
        <f>IFERROR(_xlfn.IFNA(VLOOKUP($C95,Dulieutho,ChiTiet!O$2,FALSE),0)*$G$3,0)</f>
        <v>64</v>
      </c>
      <c r="H95" s="26">
        <f>IFERROR(_xlfn.IFNA(VLOOKUP($C95,Dulieutho,ChiTiet!P$2,FALSE),0),0)</f>
        <v>25</v>
      </c>
      <c r="I95" s="26">
        <f>IFERROR(_xlfn.IFNA(VLOOKUP($C95,Dulieutho,ChiTiet!Q$2,FALSE),0),0)</f>
        <v>4</v>
      </c>
      <c r="J95" s="26">
        <f>IFERROR(_xlfn.IFNA(VLOOKUP($C95,Dulieutho,ChiTiet!R$2,FALSE),0),0)</f>
        <v>16</v>
      </c>
      <c r="K95" s="26">
        <f>IFERROR(_xlfn.IFNA(VLOOKUP($C95,Dulieutho,ChiTiet!S$2,FALSE)*$K$3,0),0)</f>
        <v>540</v>
      </c>
      <c r="L95" s="26">
        <f>IFERROR(_xlfn.IFNA(VLOOKUP($C95,Dulieutho,ChiTiet!U$2,FALSE),0),0)</f>
        <v>12</v>
      </c>
      <c r="M95" s="26">
        <f>IFERROR(_xlfn.IFNA(VLOOKUP($C95,Dulieutho,ChiTiet!T$2,FALSE),0),0)</f>
        <v>0</v>
      </c>
      <c r="N95" s="26">
        <f>IFERROR(_xlfn.IFNA(VLOOKUP($C95,Dulieutho,ChiTiet!V$2,FALSE)*1000,0),0)</f>
        <v>4000</v>
      </c>
      <c r="O95" s="26">
        <f>IFERROR(_xlfn.IFNA(VLOOKUP($C95,Dulieutho,ChiTiet!W$2,FALSE)*$O$3,0),0)</f>
        <v>9000</v>
      </c>
      <c r="P95" s="26">
        <f>IFERROR(_xlfn.IFNA(VLOOKUP($C95,Dulieutho,ChiTiet!X$2,FALSE)*$P$3,0),0)</f>
        <v>0</v>
      </c>
      <c r="Q95" s="26">
        <f>IFERROR(_xlfn.IFNA(VLOOKUP($C95,Dulieutho,ChiTiet!AG$2,FALSE),0),0)</f>
        <v>1000</v>
      </c>
      <c r="R95" s="26">
        <f>IFERROR(_xlfn.IFNA(VLOOKUP($C95,Dulieutho,ChiTiet!AH$2,FALSE),0),0)</f>
        <v>0</v>
      </c>
      <c r="S95" s="26">
        <f>IFERROR(_xlfn.IFNA(VLOOKUP($C95,Dulieutho,ChiTiet!AI$2,FALSE)*$S$3,0),0)</f>
        <v>1000</v>
      </c>
    </row>
    <row r="96" spans="2:19" ht="15.6">
      <c r="B96" s="10" t="s">
        <v>219</v>
      </c>
      <c r="C96" s="9" t="s">
        <v>277</v>
      </c>
      <c r="D96" s="11" t="s">
        <v>278</v>
      </c>
      <c r="E96" s="26">
        <f>IFERROR(_xlfn.IFNA(VLOOKUP($C96,Dulieutho,ChiTiet!M$2,FALSE),0)*$E$3,0)</f>
        <v>0</v>
      </c>
      <c r="F96" s="26">
        <f>IFERROR(_xlfn.IFNA(VLOOKUP($C96,Dulieutho,ChiTiet!N$2,FALSE),0)*$F$3,0)</f>
        <v>0</v>
      </c>
      <c r="G96" s="26">
        <f>IFERROR(_xlfn.IFNA(VLOOKUP($C96,Dulieutho,ChiTiet!O$2,FALSE),0)*$G$3,0)</f>
        <v>0</v>
      </c>
      <c r="H96" s="26">
        <f>IFERROR(_xlfn.IFNA(VLOOKUP($C96,Dulieutho,ChiTiet!P$2,FALSE),0),0)</f>
        <v>0</v>
      </c>
      <c r="I96" s="26">
        <f>IFERROR(_xlfn.IFNA(VLOOKUP($C96,Dulieutho,ChiTiet!Q$2,FALSE),0),0)</f>
        <v>2</v>
      </c>
      <c r="J96" s="26">
        <f>IFERROR(_xlfn.IFNA(VLOOKUP($C96,Dulieutho,ChiTiet!R$2,FALSE),0),0)</f>
        <v>8</v>
      </c>
      <c r="K96" s="26">
        <f>IFERROR(_xlfn.IFNA(VLOOKUP($C96,Dulieutho,ChiTiet!S$2,FALSE)*$K$3,0),0)</f>
        <v>108</v>
      </c>
      <c r="L96" s="26">
        <f>IFERROR(_xlfn.IFNA(VLOOKUP($C96,Dulieutho,ChiTiet!U$2,FALSE),0),0)</f>
        <v>0</v>
      </c>
      <c r="M96" s="26">
        <f>IFERROR(_xlfn.IFNA(VLOOKUP($C96,Dulieutho,ChiTiet!T$2,FALSE),0),0)</f>
        <v>2</v>
      </c>
      <c r="N96" s="26">
        <f>IFERROR(_xlfn.IFNA(VLOOKUP($C96,Dulieutho,ChiTiet!V$2,FALSE)*1000,0),0)</f>
        <v>8000</v>
      </c>
      <c r="O96" s="26">
        <f>IFERROR(_xlfn.IFNA(VLOOKUP($C96,Dulieutho,ChiTiet!W$2,FALSE)*$O$3,0),0)</f>
        <v>7000</v>
      </c>
      <c r="P96" s="26">
        <f>IFERROR(_xlfn.IFNA(VLOOKUP($C96,Dulieutho,ChiTiet!X$2,FALSE)*$P$3,0),0)</f>
        <v>0</v>
      </c>
      <c r="Q96" s="26">
        <f>IFERROR(_xlfn.IFNA(VLOOKUP($C96,Dulieutho,ChiTiet!AG$2,FALSE),0),0)</f>
        <v>1000</v>
      </c>
      <c r="R96" s="26">
        <f>IFERROR(_xlfn.IFNA(VLOOKUP($C96,Dulieutho,ChiTiet!AH$2,FALSE),0),0)</f>
        <v>1</v>
      </c>
      <c r="S96" s="26">
        <f>IFERROR(_xlfn.IFNA(VLOOKUP($C96,Dulieutho,ChiTiet!AI$2,FALSE)*$S$3,0),0)</f>
        <v>1000</v>
      </c>
    </row>
    <row r="97" spans="2:19" ht="15.6">
      <c r="B97" s="10" t="s">
        <v>219</v>
      </c>
      <c r="C97" s="9" t="s">
        <v>279</v>
      </c>
      <c r="D97" s="11" t="s">
        <v>280</v>
      </c>
      <c r="E97" s="26">
        <f>IFERROR(_xlfn.IFNA(VLOOKUP($C97,Dulieutho,ChiTiet!M$2,FALSE),0)*$E$3,0)</f>
        <v>500</v>
      </c>
      <c r="F97" s="26">
        <f>IFERROR(_xlfn.IFNA(VLOOKUP($C97,Dulieutho,ChiTiet!N$2,FALSE),0)*$F$3,0)</f>
        <v>0</v>
      </c>
      <c r="G97" s="26">
        <f>IFERROR(_xlfn.IFNA(VLOOKUP($C97,Dulieutho,ChiTiet!O$2,FALSE),0)*$G$3,0)</f>
        <v>64</v>
      </c>
      <c r="H97" s="26">
        <f>IFERROR(_xlfn.IFNA(VLOOKUP($C97,Dulieutho,ChiTiet!P$2,FALSE),0),0)</f>
        <v>0</v>
      </c>
      <c r="I97" s="26">
        <f>IFERROR(_xlfn.IFNA(VLOOKUP($C97,Dulieutho,ChiTiet!Q$2,FALSE),0),0)</f>
        <v>0</v>
      </c>
      <c r="J97" s="26">
        <f>IFERROR(_xlfn.IFNA(VLOOKUP($C97,Dulieutho,ChiTiet!R$2,FALSE),0),0)</f>
        <v>2</v>
      </c>
      <c r="K97" s="26">
        <f>IFERROR(_xlfn.IFNA(VLOOKUP($C97,Dulieutho,ChiTiet!S$2,FALSE)*$K$3,0),0)</f>
        <v>324</v>
      </c>
      <c r="L97" s="26">
        <f>IFERROR(_xlfn.IFNA(VLOOKUP($C97,Dulieutho,ChiTiet!U$2,FALSE),0),0)</f>
        <v>0</v>
      </c>
      <c r="M97" s="26">
        <f>IFERROR(_xlfn.IFNA(VLOOKUP($C97,Dulieutho,ChiTiet!T$2,FALSE),0),0)</f>
        <v>3</v>
      </c>
      <c r="N97" s="26">
        <f>IFERROR(_xlfn.IFNA(VLOOKUP($C97,Dulieutho,ChiTiet!V$2,FALSE)*1000,0),0)</f>
        <v>8000</v>
      </c>
      <c r="O97" s="26">
        <f>IFERROR(_xlfn.IFNA(VLOOKUP($C97,Dulieutho,ChiTiet!W$2,FALSE)*$O$3,0),0)</f>
        <v>9000</v>
      </c>
      <c r="P97" s="26">
        <f>IFERROR(_xlfn.IFNA(VLOOKUP($C97,Dulieutho,ChiTiet!X$2,FALSE)*$P$3,0),0)</f>
        <v>0</v>
      </c>
      <c r="Q97" s="26">
        <f>IFERROR(_xlfn.IFNA(VLOOKUP($C97,Dulieutho,ChiTiet!AG$2,FALSE),0),0)</f>
        <v>0</v>
      </c>
      <c r="R97" s="26">
        <f>IFERROR(_xlfn.IFNA(VLOOKUP($C97,Dulieutho,ChiTiet!AH$2,FALSE),0),0)</f>
        <v>0</v>
      </c>
      <c r="S97" s="26">
        <f>IFERROR(_xlfn.IFNA(VLOOKUP($C97,Dulieutho,ChiTiet!AI$2,FALSE)*$S$3,0),0)</f>
        <v>0</v>
      </c>
    </row>
    <row r="98" spans="2:19" ht="15.6">
      <c r="B98" s="10" t="s">
        <v>219</v>
      </c>
      <c r="C98" s="12" t="s">
        <v>281</v>
      </c>
      <c r="D98" s="11" t="s">
        <v>282</v>
      </c>
      <c r="E98" s="26">
        <f>IFERROR(_xlfn.IFNA(VLOOKUP($C98,Dulieutho,ChiTiet!M$2,FALSE),0)*$E$3,0)</f>
        <v>0</v>
      </c>
      <c r="F98" s="26">
        <f>IFERROR(_xlfn.IFNA(VLOOKUP($C98,Dulieutho,ChiTiet!N$2,FALSE),0)*$F$3,0)</f>
        <v>0</v>
      </c>
      <c r="G98" s="26">
        <f>IFERROR(_xlfn.IFNA(VLOOKUP($C98,Dulieutho,ChiTiet!O$2,FALSE),0)*$G$3,0)</f>
        <v>96</v>
      </c>
      <c r="H98" s="26">
        <f>IFERROR(_xlfn.IFNA(VLOOKUP($C98,Dulieutho,ChiTiet!P$2,FALSE),0),0)</f>
        <v>0</v>
      </c>
      <c r="I98" s="26">
        <f>IFERROR(_xlfn.IFNA(VLOOKUP($C98,Dulieutho,ChiTiet!Q$2,FALSE),0),0)</f>
        <v>2</v>
      </c>
      <c r="J98" s="26">
        <f>IFERROR(_xlfn.IFNA(VLOOKUP($C98,Dulieutho,ChiTiet!R$2,FALSE),0),0)</f>
        <v>6.5</v>
      </c>
      <c r="K98" s="26">
        <f>IFERROR(_xlfn.IFNA(VLOOKUP($C98,Dulieutho,ChiTiet!S$2,FALSE)*$K$3,0),0)</f>
        <v>216</v>
      </c>
      <c r="L98" s="26">
        <f>IFERROR(_xlfn.IFNA(VLOOKUP($C98,Dulieutho,ChiTiet!U$2,FALSE),0),0)</f>
        <v>0</v>
      </c>
      <c r="M98" s="26">
        <f>IFERROR(_xlfn.IFNA(VLOOKUP($C98,Dulieutho,ChiTiet!T$2,FALSE),0),0)</f>
        <v>2</v>
      </c>
      <c r="N98" s="26">
        <f>IFERROR(_xlfn.IFNA(VLOOKUP($C98,Dulieutho,ChiTiet!V$2,FALSE)*1000,0),0)</f>
        <v>2000</v>
      </c>
      <c r="O98" s="26">
        <f>IFERROR(_xlfn.IFNA(VLOOKUP($C98,Dulieutho,ChiTiet!W$2,FALSE)*$O$3,0),0)</f>
        <v>4000</v>
      </c>
      <c r="P98" s="26">
        <f>IFERROR(_xlfn.IFNA(VLOOKUP($C98,Dulieutho,ChiTiet!X$2,FALSE)*$P$3,0),0)</f>
        <v>0</v>
      </c>
      <c r="Q98" s="26">
        <f>IFERROR(_xlfn.IFNA(VLOOKUP($C98,Dulieutho,ChiTiet!AG$2,FALSE),0),0)</f>
        <v>0</v>
      </c>
      <c r="R98" s="26">
        <f>IFERROR(_xlfn.IFNA(VLOOKUP($C98,Dulieutho,ChiTiet!AH$2,FALSE),0),0)</f>
        <v>0</v>
      </c>
      <c r="S98" s="26">
        <f>IFERROR(_xlfn.IFNA(VLOOKUP($C98,Dulieutho,ChiTiet!AI$2,FALSE)*$S$3,0),0)</f>
        <v>0</v>
      </c>
    </row>
  </sheetData>
  <conditionalFormatting sqref="A4:A6">
    <cfRule type="duplicateValues" dxfId="28" priority="13"/>
  </conditionalFormatting>
  <conditionalFormatting sqref="B4 C5 C7:C98">
    <cfRule type="duplicateValues" dxfId="27" priority="4"/>
  </conditionalFormatting>
  <conditionalFormatting sqref="D4:D5 D7:D98">
    <cfRule type="duplicateValues" dxfId="26" priority="3"/>
  </conditionalFormatting>
  <conditionalFormatting sqref="C6">
    <cfRule type="duplicateValues" dxfId="25" priority="2"/>
  </conditionalFormatting>
  <conditionalFormatting sqref="D6">
    <cfRule type="duplicateValues" dxfId="24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5"/>
  <sheetViews>
    <sheetView topLeftCell="B1" workbookViewId="0">
      <selection activeCell="E3" sqref="E3"/>
    </sheetView>
  </sheetViews>
  <sheetFormatPr defaultRowHeight="14.4"/>
  <cols>
    <col min="1" max="1" width="7.109375" hidden="1" customWidth="1"/>
    <col min="2" max="3" width="7.109375" customWidth="1"/>
    <col min="4" max="4" width="50.33203125" bestFit="1" customWidth="1"/>
    <col min="5" max="8" width="14.5546875" style="2" customWidth="1"/>
    <col min="9" max="13" width="11.6640625" style="41" customWidth="1"/>
    <col min="14" max="14" width="10.88671875" style="2" customWidth="1"/>
    <col min="15" max="15" width="16.5546875" style="42" bestFit="1" customWidth="1"/>
    <col min="16" max="16" width="12.109375" style="2" bestFit="1" customWidth="1"/>
    <col min="17" max="17" width="9.5546875" style="2" bestFit="1" customWidth="1"/>
    <col min="18" max="21" width="11.6640625" style="41" customWidth="1"/>
    <col min="22" max="22" width="10.88671875" style="2" customWidth="1"/>
    <col min="23" max="24" width="9.5546875" style="2" bestFit="1" customWidth="1"/>
  </cols>
  <sheetData>
    <row r="1" spans="1:24" s="34" customFormat="1" ht="43.2">
      <c r="A1" s="27" t="s">
        <v>1</v>
      </c>
      <c r="B1" s="28" t="s">
        <v>94</v>
      </c>
      <c r="C1" s="28" t="s">
        <v>95</v>
      </c>
      <c r="D1" s="28" t="s">
        <v>9</v>
      </c>
      <c r="E1" s="29" t="s">
        <v>2</v>
      </c>
      <c r="F1" s="29" t="s">
        <v>3</v>
      </c>
      <c r="G1" s="29" t="s">
        <v>4</v>
      </c>
      <c r="H1" s="29" t="s">
        <v>5</v>
      </c>
      <c r="I1" s="30" t="s">
        <v>74</v>
      </c>
      <c r="J1" s="30" t="s">
        <v>10</v>
      </c>
      <c r="K1" s="30" t="s">
        <v>11</v>
      </c>
      <c r="L1" s="30" t="s">
        <v>72</v>
      </c>
      <c r="M1" s="30" t="s">
        <v>12</v>
      </c>
      <c r="N1" s="31" t="s">
        <v>16</v>
      </c>
      <c r="O1" s="31" t="s">
        <v>31</v>
      </c>
      <c r="P1" s="31" t="s">
        <v>17</v>
      </c>
      <c r="Q1" s="32" t="s">
        <v>18</v>
      </c>
      <c r="R1" s="33" t="s">
        <v>384</v>
      </c>
      <c r="S1" s="33" t="s">
        <v>14</v>
      </c>
      <c r="T1" s="33" t="s">
        <v>71</v>
      </c>
      <c r="U1" s="33" t="s">
        <v>15</v>
      </c>
      <c r="V1" s="21" t="s">
        <v>33</v>
      </c>
      <c r="W1" s="21" t="s">
        <v>8</v>
      </c>
      <c r="X1" s="21" t="s">
        <v>6</v>
      </c>
    </row>
    <row r="2" spans="1:24" ht="15.6">
      <c r="B2" s="10" t="s">
        <v>97</v>
      </c>
      <c r="C2" s="9" t="s">
        <v>96</v>
      </c>
      <c r="D2" s="11" t="s">
        <v>98</v>
      </c>
      <c r="E2" s="35">
        <f>_xlfn.IFNA(VLOOKUP($C2,Dulieutho,ChiTiet!F$2,FALSE),"")</f>
        <v>492</v>
      </c>
      <c r="F2" s="35">
        <f>_xlfn.IFNA(VLOOKUP($C2,Dulieutho,ChiTiet!G$2,FALSE),"")</f>
        <v>92</v>
      </c>
      <c r="G2" s="35">
        <f>_xlfn.IFNA(VLOOKUP($C2,Dulieutho,ChiTiet!H$2,FALSE),"")</f>
        <v>70</v>
      </c>
      <c r="H2" s="35">
        <f>_xlfn.IFNA(VLOOKUP($C2,Dulieutho,ChiTiet!I$2,FALSE),"")</f>
        <v>144</v>
      </c>
      <c r="I2" s="45">
        <f>IFERROR((E2+G2)*1,0)</f>
        <v>562</v>
      </c>
      <c r="J2" s="36">
        <f>SUM(E2:G2)*5</f>
        <v>3270</v>
      </c>
      <c r="K2" s="36">
        <f t="shared" ref="K2:K34" si="0">IFERROR(((E2+G2)*5)+(H2/2*5),0)</f>
        <v>3170</v>
      </c>
      <c r="L2" s="37">
        <f>IFERROR((_xlfn.IFNA(VLOOKUP($C2,Dulieutho,ChiTiet!K$2,FALSE),"")+_xlfn.IFNA(VLOOKUP($C2,Dulieutho,ChiTiet!AK$2,FALSE),""))/80,0)</f>
        <v>3.75</v>
      </c>
      <c r="M2" s="36">
        <f>IFERROR((E2+G2+F2+(H2/2))*1,0)</f>
        <v>726</v>
      </c>
      <c r="N2" s="38">
        <f>IFERROR(H2/2*5,0)</f>
        <v>360</v>
      </c>
      <c r="O2" s="46">
        <f>IFERROR(H2/2/16,0)</f>
        <v>4.5</v>
      </c>
      <c r="P2" s="39">
        <f>IFERROR(H2/2*5,0)</f>
        <v>360</v>
      </c>
      <c r="Q2" s="40">
        <f>IFERROR(F2*1,0)</f>
        <v>92</v>
      </c>
      <c r="R2" s="36">
        <f>IFERROR((E2+G2+F2+(H2/2)*1),0)</f>
        <v>726</v>
      </c>
      <c r="S2" s="36">
        <f>IFERROR((E2+G2+F2+(H2/2)*1),0)</f>
        <v>726</v>
      </c>
      <c r="T2" s="36">
        <f>S2</f>
        <v>726</v>
      </c>
      <c r="U2" s="36">
        <f>S2</f>
        <v>726</v>
      </c>
      <c r="V2" s="40">
        <f>I2</f>
        <v>562</v>
      </c>
      <c r="W2" s="40">
        <f>F2</f>
        <v>92</v>
      </c>
      <c r="X2" s="40">
        <f>IFERROR(H2/2,0)</f>
        <v>72</v>
      </c>
    </row>
    <row r="3" spans="1:24" ht="15.6">
      <c r="B3" s="10" t="s">
        <v>97</v>
      </c>
      <c r="C3" s="9" t="s">
        <v>499</v>
      </c>
      <c r="D3" s="11" t="s">
        <v>500</v>
      </c>
      <c r="E3" s="35" t="str">
        <f>_xlfn.IFNA(VLOOKUP($C3,Dulieutho,ChiTiet!F$2,FALSE),"")</f>
        <v/>
      </c>
      <c r="F3" s="35" t="str">
        <f>_xlfn.IFNA(VLOOKUP($C3,Dulieutho,ChiTiet!G$2,FALSE),"")</f>
        <v/>
      </c>
      <c r="G3" s="35" t="str">
        <f>_xlfn.IFNA(VLOOKUP($C3,Dulieutho,ChiTiet!H$2,FALSE),"")</f>
        <v/>
      </c>
      <c r="H3" s="35" t="str">
        <f>_xlfn.IFNA(VLOOKUP($C3,Dulieutho,ChiTiet!I$2,FALSE),"")</f>
        <v/>
      </c>
      <c r="I3" s="45">
        <f>IFERROR((E3+G3)*1,0)</f>
        <v>0</v>
      </c>
      <c r="J3" s="36">
        <f>SUM(E3:G3)*5</f>
        <v>0</v>
      </c>
      <c r="K3" s="36">
        <f t="shared" ref="K3" si="1">IFERROR(((E3+G3)*5)+(H3/2*5),0)</f>
        <v>0</v>
      </c>
      <c r="L3" s="37">
        <f>IFERROR((_xlfn.IFNA(VLOOKUP($C3,Dulieutho,ChiTiet!K$2,FALSE),"")+_xlfn.IFNA(VLOOKUP($C3,Dulieutho,ChiTiet!AK$2,FALSE),""))/80,0)</f>
        <v>0</v>
      </c>
      <c r="M3" s="36">
        <f>IFERROR((E3+G3+F3+(H3/2))*1,0)</f>
        <v>0</v>
      </c>
      <c r="N3" s="38">
        <f>IFERROR(H3/2*5,0)</f>
        <v>0</v>
      </c>
      <c r="O3" s="46">
        <f>IFERROR(H3/2/16,0)</f>
        <v>0</v>
      </c>
      <c r="P3" s="39">
        <f>IFERROR(H3/2*5,0)</f>
        <v>0</v>
      </c>
      <c r="Q3" s="40">
        <f>IFERROR(F3*1,0)</f>
        <v>0</v>
      </c>
      <c r="R3" s="36">
        <f>IFERROR((E3+G3+F3+(H3/2)*1),0)</f>
        <v>0</v>
      </c>
      <c r="S3" s="36">
        <f>IFERROR((E3+G3+F3+(H3/2)*1),0)</f>
        <v>0</v>
      </c>
      <c r="T3" s="36">
        <f>S3</f>
        <v>0</v>
      </c>
      <c r="U3" s="36">
        <f>S3</f>
        <v>0</v>
      </c>
      <c r="V3" s="40">
        <f>I3</f>
        <v>0</v>
      </c>
      <c r="W3" s="40" t="str">
        <f>F3</f>
        <v/>
      </c>
      <c r="X3" s="40">
        <f>IFERROR(H3/2,0)</f>
        <v>0</v>
      </c>
    </row>
    <row r="4" spans="1:24" ht="15.6">
      <c r="B4" s="10" t="s">
        <v>97</v>
      </c>
      <c r="C4" s="9" t="s">
        <v>99</v>
      </c>
      <c r="D4" s="11" t="s">
        <v>100</v>
      </c>
      <c r="E4" s="35">
        <f>_xlfn.IFNA(VLOOKUP($C4,Dulieutho,ChiTiet!F$2,FALSE),"")</f>
        <v>360</v>
      </c>
      <c r="F4" s="35">
        <f>_xlfn.IFNA(VLOOKUP($C4,Dulieutho,ChiTiet!G$2,FALSE),"")</f>
        <v>56</v>
      </c>
      <c r="G4" s="35">
        <f>_xlfn.IFNA(VLOOKUP($C4,Dulieutho,ChiTiet!H$2,FALSE),"")</f>
        <v>150</v>
      </c>
      <c r="H4" s="35">
        <f>_xlfn.IFNA(VLOOKUP($C4,Dulieutho,ChiTiet!I$2,FALSE),"")</f>
        <v>0</v>
      </c>
      <c r="I4" s="45">
        <f t="shared" ref="I4:I67" si="2">IFERROR((E4+G4)*1,0)</f>
        <v>510</v>
      </c>
      <c r="J4" s="36">
        <f t="shared" ref="J4:J67" si="3">SUM(E4:G4)*5</f>
        <v>2830</v>
      </c>
      <c r="K4" s="36">
        <f t="shared" si="0"/>
        <v>2550</v>
      </c>
      <c r="L4" s="37">
        <f>IFERROR((_xlfn.IFNA(VLOOKUP($C4,Dulieutho,ChiTiet!K$2,FALSE),"")+_xlfn.IFNA(VLOOKUP($C4,Dulieutho,ChiTiet!AK$2,FALSE),""))/80,0)</f>
        <v>0</v>
      </c>
      <c r="M4" s="36">
        <f t="shared" ref="M4:M67" si="4">IFERROR((E4+G4+F4+(H4/2))*1,0)</f>
        <v>566</v>
      </c>
      <c r="N4" s="38">
        <f t="shared" ref="N4:N67" si="5">IFERROR(H4/2*5,0)</f>
        <v>0</v>
      </c>
      <c r="O4" s="46">
        <f t="shared" ref="O4:O67" si="6">IFERROR(H4/2/16,0)</f>
        <v>0</v>
      </c>
      <c r="P4" s="39">
        <f t="shared" ref="P4:P67" si="7">IFERROR(H4/2*5,0)</f>
        <v>0</v>
      </c>
      <c r="Q4" s="40">
        <f t="shared" ref="Q4:Q67" si="8">IFERROR(F4*1,0)</f>
        <v>56</v>
      </c>
      <c r="R4" s="36">
        <f t="shared" ref="R4:R67" si="9">IFERROR((E4+G4+F4+(H4/2)*1),0)</f>
        <v>566</v>
      </c>
      <c r="S4" s="36">
        <f t="shared" ref="S4:S67" si="10">IFERROR((E4+G4+F4+(H4/2)*1),0)</f>
        <v>566</v>
      </c>
      <c r="T4" s="36">
        <f t="shared" ref="T4:T67" si="11">S4</f>
        <v>566</v>
      </c>
      <c r="U4" s="36">
        <f t="shared" ref="U4:U67" si="12">S4</f>
        <v>566</v>
      </c>
      <c r="V4" s="40">
        <f t="shared" ref="V4:V67" si="13">I4</f>
        <v>510</v>
      </c>
      <c r="W4" s="40">
        <f t="shared" ref="W4:W67" si="14">F4</f>
        <v>56</v>
      </c>
      <c r="X4" s="40">
        <f t="shared" ref="X4:X67" si="15">IFERROR(H4/2,0)</f>
        <v>0</v>
      </c>
    </row>
    <row r="5" spans="1:24" ht="15.6">
      <c r="B5" s="10" t="s">
        <v>97</v>
      </c>
      <c r="C5" s="9" t="s">
        <v>101</v>
      </c>
      <c r="D5" s="11" t="s">
        <v>102</v>
      </c>
      <c r="E5" s="35" t="str">
        <f>_xlfn.IFNA(VLOOKUP($C5,Dulieutho,ChiTiet!F$2,FALSE),"")</f>
        <v/>
      </c>
      <c r="F5" s="35" t="str">
        <f>_xlfn.IFNA(VLOOKUP($C5,Dulieutho,ChiTiet!G$2,FALSE),"")</f>
        <v/>
      </c>
      <c r="G5" s="35" t="str">
        <f>_xlfn.IFNA(VLOOKUP($C5,Dulieutho,ChiTiet!H$2,FALSE),"")</f>
        <v/>
      </c>
      <c r="H5" s="35" t="str">
        <f>_xlfn.IFNA(VLOOKUP($C5,Dulieutho,ChiTiet!I$2,FALSE),"")</f>
        <v/>
      </c>
      <c r="I5" s="45">
        <f t="shared" si="2"/>
        <v>0</v>
      </c>
      <c r="J5" s="36">
        <f t="shared" si="3"/>
        <v>0</v>
      </c>
      <c r="K5" s="36">
        <f t="shared" si="0"/>
        <v>0</v>
      </c>
      <c r="L5" s="37">
        <f>IFERROR((_xlfn.IFNA(VLOOKUP($C5,Dulieutho,ChiTiet!K$2,FALSE),"")+_xlfn.IFNA(VLOOKUP($C5,Dulieutho,ChiTiet!AK$2,FALSE),""))/80,0)</f>
        <v>0</v>
      </c>
      <c r="M5" s="36">
        <f t="shared" si="4"/>
        <v>0</v>
      </c>
      <c r="N5" s="38">
        <f t="shared" si="5"/>
        <v>0</v>
      </c>
      <c r="O5" s="46">
        <f t="shared" si="6"/>
        <v>0</v>
      </c>
      <c r="P5" s="39">
        <f t="shared" si="7"/>
        <v>0</v>
      </c>
      <c r="Q5" s="40">
        <f t="shared" si="8"/>
        <v>0</v>
      </c>
      <c r="R5" s="36">
        <f t="shared" si="9"/>
        <v>0</v>
      </c>
      <c r="S5" s="36">
        <f t="shared" si="10"/>
        <v>0</v>
      </c>
      <c r="T5" s="36">
        <f t="shared" si="11"/>
        <v>0</v>
      </c>
      <c r="U5" s="36">
        <f t="shared" si="12"/>
        <v>0</v>
      </c>
      <c r="V5" s="40">
        <f t="shared" si="13"/>
        <v>0</v>
      </c>
      <c r="W5" s="40" t="str">
        <f t="shared" si="14"/>
        <v/>
      </c>
      <c r="X5" s="40">
        <f t="shared" si="15"/>
        <v>0</v>
      </c>
    </row>
    <row r="6" spans="1:24" ht="15.6">
      <c r="B6" s="10" t="s">
        <v>97</v>
      </c>
      <c r="C6" s="9" t="s">
        <v>103</v>
      </c>
      <c r="D6" s="11" t="s">
        <v>104</v>
      </c>
      <c r="E6" s="35">
        <f>_xlfn.IFNA(VLOOKUP($C6,Dulieutho,ChiTiet!F$2,FALSE),"")</f>
        <v>1912</v>
      </c>
      <c r="F6" s="35">
        <f>_xlfn.IFNA(VLOOKUP($C6,Dulieutho,ChiTiet!G$2,FALSE),"")</f>
        <v>144</v>
      </c>
      <c r="G6" s="35">
        <f>_xlfn.IFNA(VLOOKUP($C6,Dulieutho,ChiTiet!H$2,FALSE),"")</f>
        <v>880</v>
      </c>
      <c r="H6" s="35">
        <f>_xlfn.IFNA(VLOOKUP($C6,Dulieutho,ChiTiet!I$2,FALSE),"")</f>
        <v>360</v>
      </c>
      <c r="I6" s="45">
        <f t="shared" si="2"/>
        <v>2792</v>
      </c>
      <c r="J6" s="36">
        <f t="shared" si="3"/>
        <v>14680</v>
      </c>
      <c r="K6" s="36">
        <f t="shared" si="0"/>
        <v>14860</v>
      </c>
      <c r="L6" s="37">
        <f>IFERROR((_xlfn.IFNA(VLOOKUP($C6,Dulieutho,ChiTiet!K$2,FALSE),"")+_xlfn.IFNA(VLOOKUP($C6,Dulieutho,ChiTiet!AK$2,FALSE),""))/80,0)</f>
        <v>25.125</v>
      </c>
      <c r="M6" s="36">
        <f t="shared" si="4"/>
        <v>3116</v>
      </c>
      <c r="N6" s="38">
        <f t="shared" si="5"/>
        <v>900</v>
      </c>
      <c r="O6" s="46">
        <f t="shared" si="6"/>
        <v>11.25</v>
      </c>
      <c r="P6" s="39">
        <f t="shared" si="7"/>
        <v>900</v>
      </c>
      <c r="Q6" s="40">
        <f t="shared" si="8"/>
        <v>144</v>
      </c>
      <c r="R6" s="36">
        <f t="shared" si="9"/>
        <v>3116</v>
      </c>
      <c r="S6" s="36">
        <f t="shared" si="10"/>
        <v>3116</v>
      </c>
      <c r="T6" s="36">
        <f t="shared" si="11"/>
        <v>3116</v>
      </c>
      <c r="U6" s="36">
        <f t="shared" si="12"/>
        <v>3116</v>
      </c>
      <c r="V6" s="40">
        <f t="shared" si="13"/>
        <v>2792</v>
      </c>
      <c r="W6" s="40">
        <f t="shared" si="14"/>
        <v>144</v>
      </c>
      <c r="X6" s="40">
        <f t="shared" si="15"/>
        <v>180</v>
      </c>
    </row>
    <row r="7" spans="1:24" ht="15.6">
      <c r="B7" s="10" t="s">
        <v>97</v>
      </c>
      <c r="C7" s="9" t="s">
        <v>105</v>
      </c>
      <c r="D7" s="11" t="s">
        <v>106</v>
      </c>
      <c r="E7" s="35">
        <f>_xlfn.IFNA(VLOOKUP($C7,Dulieutho,ChiTiet!F$2,FALSE),"")</f>
        <v>2216</v>
      </c>
      <c r="F7" s="35">
        <f>_xlfn.IFNA(VLOOKUP($C7,Dulieutho,ChiTiet!G$2,FALSE),"")</f>
        <v>232</v>
      </c>
      <c r="G7" s="35">
        <f>_xlfn.IFNA(VLOOKUP($C7,Dulieutho,ChiTiet!H$2,FALSE),"")</f>
        <v>210</v>
      </c>
      <c r="H7" s="35">
        <f>_xlfn.IFNA(VLOOKUP($C7,Dulieutho,ChiTiet!I$2,FALSE),"")</f>
        <v>120</v>
      </c>
      <c r="I7" s="45">
        <f t="shared" si="2"/>
        <v>2426</v>
      </c>
      <c r="J7" s="36">
        <f t="shared" si="3"/>
        <v>13290</v>
      </c>
      <c r="K7" s="36">
        <f t="shared" si="0"/>
        <v>12430</v>
      </c>
      <c r="L7" s="37">
        <f>IFERROR((_xlfn.IFNA(VLOOKUP($C7,Dulieutho,ChiTiet!K$2,FALSE),"")+_xlfn.IFNA(VLOOKUP($C7,Dulieutho,ChiTiet!AK$2,FALSE),""))/80,0)</f>
        <v>24.75</v>
      </c>
      <c r="M7" s="36">
        <f t="shared" si="4"/>
        <v>2718</v>
      </c>
      <c r="N7" s="38">
        <f t="shared" si="5"/>
        <v>300</v>
      </c>
      <c r="O7" s="46">
        <f t="shared" si="6"/>
        <v>3.75</v>
      </c>
      <c r="P7" s="39">
        <f t="shared" si="7"/>
        <v>300</v>
      </c>
      <c r="Q7" s="40">
        <f t="shared" si="8"/>
        <v>232</v>
      </c>
      <c r="R7" s="36">
        <f t="shared" si="9"/>
        <v>2718</v>
      </c>
      <c r="S7" s="36">
        <f t="shared" si="10"/>
        <v>2718</v>
      </c>
      <c r="T7" s="36">
        <f t="shared" si="11"/>
        <v>2718</v>
      </c>
      <c r="U7" s="36">
        <f t="shared" si="12"/>
        <v>2718</v>
      </c>
      <c r="V7" s="40">
        <f t="shared" si="13"/>
        <v>2426</v>
      </c>
      <c r="W7" s="40">
        <f t="shared" si="14"/>
        <v>232</v>
      </c>
      <c r="X7" s="40">
        <f t="shared" si="15"/>
        <v>60</v>
      </c>
    </row>
    <row r="8" spans="1:24" ht="15.6">
      <c r="B8" s="10" t="s">
        <v>97</v>
      </c>
      <c r="C8" s="9" t="s">
        <v>107</v>
      </c>
      <c r="D8" s="11" t="s">
        <v>108</v>
      </c>
      <c r="E8" s="35">
        <f>_xlfn.IFNA(VLOOKUP($C8,Dulieutho,ChiTiet!F$2,FALSE),"")</f>
        <v>3480</v>
      </c>
      <c r="F8" s="35">
        <f>_xlfn.IFNA(VLOOKUP($C8,Dulieutho,ChiTiet!G$2,FALSE),"")</f>
        <v>656</v>
      </c>
      <c r="G8" s="35">
        <f>_xlfn.IFNA(VLOOKUP($C8,Dulieutho,ChiTiet!H$2,FALSE),"")</f>
        <v>500</v>
      </c>
      <c r="H8" s="35">
        <f>_xlfn.IFNA(VLOOKUP($C8,Dulieutho,ChiTiet!I$2,FALSE),"")</f>
        <v>816</v>
      </c>
      <c r="I8" s="45">
        <f t="shared" si="2"/>
        <v>3980</v>
      </c>
      <c r="J8" s="36">
        <f t="shared" si="3"/>
        <v>23180</v>
      </c>
      <c r="K8" s="36">
        <f t="shared" si="0"/>
        <v>21940</v>
      </c>
      <c r="L8" s="37">
        <f>IFERROR((_xlfn.IFNA(VLOOKUP($C8,Dulieutho,ChiTiet!K$2,FALSE),"")+_xlfn.IFNA(VLOOKUP($C8,Dulieutho,ChiTiet!AK$2,FALSE),""))/80,0)</f>
        <v>36.375</v>
      </c>
      <c r="M8" s="36">
        <f t="shared" si="4"/>
        <v>5044</v>
      </c>
      <c r="N8" s="38">
        <f t="shared" si="5"/>
        <v>2040</v>
      </c>
      <c r="O8" s="46">
        <f t="shared" si="6"/>
        <v>25.5</v>
      </c>
      <c r="P8" s="39">
        <f t="shared" si="7"/>
        <v>2040</v>
      </c>
      <c r="Q8" s="40">
        <f t="shared" si="8"/>
        <v>656</v>
      </c>
      <c r="R8" s="36">
        <f t="shared" si="9"/>
        <v>5044</v>
      </c>
      <c r="S8" s="36">
        <f t="shared" si="10"/>
        <v>5044</v>
      </c>
      <c r="T8" s="36">
        <f t="shared" si="11"/>
        <v>5044</v>
      </c>
      <c r="U8" s="36">
        <f t="shared" si="12"/>
        <v>5044</v>
      </c>
      <c r="V8" s="40">
        <f t="shared" si="13"/>
        <v>3980</v>
      </c>
      <c r="W8" s="40">
        <f t="shared" si="14"/>
        <v>656</v>
      </c>
      <c r="X8" s="40">
        <f t="shared" si="15"/>
        <v>408</v>
      </c>
    </row>
    <row r="9" spans="1:24" ht="15.6">
      <c r="B9" s="10" t="s">
        <v>97</v>
      </c>
      <c r="C9" s="9" t="s">
        <v>109</v>
      </c>
      <c r="D9" s="11" t="s">
        <v>110</v>
      </c>
      <c r="E9" s="35">
        <f>_xlfn.IFNA(VLOOKUP($C9,Dulieutho,ChiTiet!F$2,FALSE),"")</f>
        <v>2556</v>
      </c>
      <c r="F9" s="35">
        <f>_xlfn.IFNA(VLOOKUP($C9,Dulieutho,ChiTiet!G$2,FALSE),"")</f>
        <v>148</v>
      </c>
      <c r="G9" s="35">
        <f>_xlfn.IFNA(VLOOKUP($C9,Dulieutho,ChiTiet!H$2,FALSE),"")</f>
        <v>600</v>
      </c>
      <c r="H9" s="35">
        <f>_xlfn.IFNA(VLOOKUP($C9,Dulieutho,ChiTiet!I$2,FALSE),"")</f>
        <v>192</v>
      </c>
      <c r="I9" s="45">
        <f t="shared" si="2"/>
        <v>3156</v>
      </c>
      <c r="J9" s="36">
        <f t="shared" si="3"/>
        <v>16520</v>
      </c>
      <c r="K9" s="36">
        <f t="shared" si="0"/>
        <v>16260</v>
      </c>
      <c r="L9" s="37">
        <f>IFERROR((_xlfn.IFNA(VLOOKUP($C9,Dulieutho,ChiTiet!K$2,FALSE),"")+_xlfn.IFNA(VLOOKUP($C9,Dulieutho,ChiTiet!AK$2,FALSE),""))/80,0)</f>
        <v>27.75</v>
      </c>
      <c r="M9" s="36">
        <f t="shared" si="4"/>
        <v>3400</v>
      </c>
      <c r="N9" s="38">
        <f t="shared" si="5"/>
        <v>480</v>
      </c>
      <c r="O9" s="46">
        <f t="shared" si="6"/>
        <v>6</v>
      </c>
      <c r="P9" s="39">
        <f t="shared" si="7"/>
        <v>480</v>
      </c>
      <c r="Q9" s="40">
        <f t="shared" si="8"/>
        <v>148</v>
      </c>
      <c r="R9" s="36">
        <f t="shared" si="9"/>
        <v>3400</v>
      </c>
      <c r="S9" s="36">
        <f t="shared" si="10"/>
        <v>3400</v>
      </c>
      <c r="T9" s="36">
        <f t="shared" si="11"/>
        <v>3400</v>
      </c>
      <c r="U9" s="36">
        <f t="shared" si="12"/>
        <v>3400</v>
      </c>
      <c r="V9" s="40">
        <f t="shared" si="13"/>
        <v>3156</v>
      </c>
      <c r="W9" s="40">
        <f t="shared" si="14"/>
        <v>148</v>
      </c>
      <c r="X9" s="40">
        <f t="shared" si="15"/>
        <v>96</v>
      </c>
    </row>
    <row r="10" spans="1:24" ht="15.6">
      <c r="B10" s="10" t="s">
        <v>97</v>
      </c>
      <c r="C10" s="9" t="s">
        <v>111</v>
      </c>
      <c r="D10" s="11" t="s">
        <v>112</v>
      </c>
      <c r="E10" s="35">
        <f>_xlfn.IFNA(VLOOKUP($C10,Dulieutho,ChiTiet!F$2,FALSE),"")</f>
        <v>628</v>
      </c>
      <c r="F10" s="35">
        <f>_xlfn.IFNA(VLOOKUP($C10,Dulieutho,ChiTiet!G$2,FALSE),"")</f>
        <v>136</v>
      </c>
      <c r="G10" s="35">
        <f>_xlfn.IFNA(VLOOKUP($C10,Dulieutho,ChiTiet!H$2,FALSE),"")</f>
        <v>270</v>
      </c>
      <c r="H10" s="35">
        <f>_xlfn.IFNA(VLOOKUP($C10,Dulieutho,ChiTiet!I$2,FALSE),"")</f>
        <v>264</v>
      </c>
      <c r="I10" s="45">
        <f t="shared" si="2"/>
        <v>898</v>
      </c>
      <c r="J10" s="36">
        <f t="shared" si="3"/>
        <v>5170</v>
      </c>
      <c r="K10" s="36">
        <f t="shared" si="0"/>
        <v>5150</v>
      </c>
      <c r="L10" s="37">
        <f>IFERROR((_xlfn.IFNA(VLOOKUP($C10,Dulieutho,ChiTiet!K$2,FALSE),"")+_xlfn.IFNA(VLOOKUP($C10,Dulieutho,ChiTiet!AK$2,FALSE),""))/80,0)</f>
        <v>11.25</v>
      </c>
      <c r="M10" s="36">
        <f t="shared" si="4"/>
        <v>1166</v>
      </c>
      <c r="N10" s="38">
        <f t="shared" si="5"/>
        <v>660</v>
      </c>
      <c r="O10" s="46">
        <f t="shared" si="6"/>
        <v>8.25</v>
      </c>
      <c r="P10" s="39">
        <f t="shared" si="7"/>
        <v>660</v>
      </c>
      <c r="Q10" s="40">
        <f t="shared" si="8"/>
        <v>136</v>
      </c>
      <c r="R10" s="36">
        <f t="shared" si="9"/>
        <v>1166</v>
      </c>
      <c r="S10" s="36">
        <f t="shared" si="10"/>
        <v>1166</v>
      </c>
      <c r="T10" s="36">
        <f t="shared" si="11"/>
        <v>1166</v>
      </c>
      <c r="U10" s="36">
        <f t="shared" si="12"/>
        <v>1166</v>
      </c>
      <c r="V10" s="40">
        <f t="shared" si="13"/>
        <v>898</v>
      </c>
      <c r="W10" s="40">
        <f t="shared" si="14"/>
        <v>136</v>
      </c>
      <c r="X10" s="40">
        <f t="shared" si="15"/>
        <v>132</v>
      </c>
    </row>
    <row r="11" spans="1:24" ht="15.6">
      <c r="B11" s="10" t="s">
        <v>97</v>
      </c>
      <c r="C11" s="9" t="s">
        <v>113</v>
      </c>
      <c r="D11" s="11" t="s">
        <v>114</v>
      </c>
      <c r="E11" s="35">
        <f>_xlfn.IFNA(VLOOKUP($C11,Dulieutho,ChiTiet!F$2,FALSE),"")</f>
        <v>1348</v>
      </c>
      <c r="F11" s="35">
        <f>_xlfn.IFNA(VLOOKUP($C11,Dulieutho,ChiTiet!G$2,FALSE),"")</f>
        <v>168</v>
      </c>
      <c r="G11" s="35">
        <f>_xlfn.IFNA(VLOOKUP($C11,Dulieutho,ChiTiet!H$2,FALSE),"")</f>
        <v>320</v>
      </c>
      <c r="H11" s="35">
        <f>_xlfn.IFNA(VLOOKUP($C11,Dulieutho,ChiTiet!I$2,FALSE),"")</f>
        <v>336</v>
      </c>
      <c r="I11" s="45">
        <f t="shared" si="2"/>
        <v>1668</v>
      </c>
      <c r="J11" s="36">
        <f t="shared" si="3"/>
        <v>9180</v>
      </c>
      <c r="K11" s="36">
        <f t="shared" si="0"/>
        <v>9180</v>
      </c>
      <c r="L11" s="37">
        <f>IFERROR((_xlfn.IFNA(VLOOKUP($C11,Dulieutho,ChiTiet!K$2,FALSE),"")+_xlfn.IFNA(VLOOKUP($C11,Dulieutho,ChiTiet!AK$2,FALSE),""))/80,0)</f>
        <v>0</v>
      </c>
      <c r="M11" s="36">
        <f t="shared" si="4"/>
        <v>2004</v>
      </c>
      <c r="N11" s="38">
        <f t="shared" si="5"/>
        <v>840</v>
      </c>
      <c r="O11" s="46">
        <f t="shared" si="6"/>
        <v>10.5</v>
      </c>
      <c r="P11" s="39">
        <f t="shared" si="7"/>
        <v>840</v>
      </c>
      <c r="Q11" s="40">
        <f t="shared" si="8"/>
        <v>168</v>
      </c>
      <c r="R11" s="36">
        <f t="shared" si="9"/>
        <v>2004</v>
      </c>
      <c r="S11" s="36">
        <f t="shared" si="10"/>
        <v>2004</v>
      </c>
      <c r="T11" s="36">
        <f t="shared" si="11"/>
        <v>2004</v>
      </c>
      <c r="U11" s="36">
        <f t="shared" si="12"/>
        <v>2004</v>
      </c>
      <c r="V11" s="40">
        <f t="shared" si="13"/>
        <v>1668</v>
      </c>
      <c r="W11" s="40">
        <f t="shared" si="14"/>
        <v>168</v>
      </c>
      <c r="X11" s="40">
        <f t="shared" si="15"/>
        <v>168</v>
      </c>
    </row>
    <row r="12" spans="1:24" ht="15.6">
      <c r="B12" s="10" t="s">
        <v>97</v>
      </c>
      <c r="C12" s="9" t="s">
        <v>115</v>
      </c>
      <c r="D12" s="11" t="s">
        <v>116</v>
      </c>
      <c r="E12" s="35">
        <f>_xlfn.IFNA(VLOOKUP($C12,Dulieutho,ChiTiet!F$2,FALSE),"")</f>
        <v>1152</v>
      </c>
      <c r="F12" s="35">
        <f>_xlfn.IFNA(VLOOKUP($C12,Dulieutho,ChiTiet!G$2,FALSE),"")</f>
        <v>148</v>
      </c>
      <c r="G12" s="35">
        <f>_xlfn.IFNA(VLOOKUP($C12,Dulieutho,ChiTiet!H$2,FALSE),"")</f>
        <v>350</v>
      </c>
      <c r="H12" s="35">
        <f>_xlfn.IFNA(VLOOKUP($C12,Dulieutho,ChiTiet!I$2,FALSE),"")</f>
        <v>360</v>
      </c>
      <c r="I12" s="45">
        <f t="shared" si="2"/>
        <v>1502</v>
      </c>
      <c r="J12" s="36">
        <f t="shared" si="3"/>
        <v>8250</v>
      </c>
      <c r="K12" s="36">
        <f t="shared" si="0"/>
        <v>8410</v>
      </c>
      <c r="L12" s="37">
        <f>IFERROR((_xlfn.IFNA(VLOOKUP($C12,Dulieutho,ChiTiet!K$2,FALSE),"")+_xlfn.IFNA(VLOOKUP($C12,Dulieutho,ChiTiet!AK$2,FALSE),""))/80,0)</f>
        <v>14.25</v>
      </c>
      <c r="M12" s="36">
        <f t="shared" si="4"/>
        <v>1830</v>
      </c>
      <c r="N12" s="38">
        <f t="shared" si="5"/>
        <v>900</v>
      </c>
      <c r="O12" s="46">
        <f t="shared" si="6"/>
        <v>11.25</v>
      </c>
      <c r="P12" s="39">
        <f t="shared" si="7"/>
        <v>900</v>
      </c>
      <c r="Q12" s="40">
        <f t="shared" si="8"/>
        <v>148</v>
      </c>
      <c r="R12" s="36">
        <f t="shared" si="9"/>
        <v>1830</v>
      </c>
      <c r="S12" s="36">
        <f t="shared" si="10"/>
        <v>1830</v>
      </c>
      <c r="T12" s="36">
        <f t="shared" si="11"/>
        <v>1830</v>
      </c>
      <c r="U12" s="36">
        <f t="shared" si="12"/>
        <v>1830</v>
      </c>
      <c r="V12" s="40">
        <f t="shared" si="13"/>
        <v>1502</v>
      </c>
      <c r="W12" s="40">
        <f t="shared" si="14"/>
        <v>148</v>
      </c>
      <c r="X12" s="40">
        <f t="shared" si="15"/>
        <v>180</v>
      </c>
    </row>
    <row r="13" spans="1:24" ht="15.6">
      <c r="B13" s="10" t="s">
        <v>97</v>
      </c>
      <c r="C13" s="9" t="s">
        <v>117</v>
      </c>
      <c r="D13" s="11" t="s">
        <v>118</v>
      </c>
      <c r="E13" s="35">
        <f>_xlfn.IFNA(VLOOKUP($C13,Dulieutho,ChiTiet!F$2,FALSE),"")</f>
        <v>900</v>
      </c>
      <c r="F13" s="35">
        <f>_xlfn.IFNA(VLOOKUP($C13,Dulieutho,ChiTiet!G$2,FALSE),"")</f>
        <v>160</v>
      </c>
      <c r="G13" s="35">
        <f>_xlfn.IFNA(VLOOKUP($C13,Dulieutho,ChiTiet!H$2,FALSE),"")</f>
        <v>140</v>
      </c>
      <c r="H13" s="35">
        <f>_xlfn.IFNA(VLOOKUP($C13,Dulieutho,ChiTiet!I$2,FALSE),"")</f>
        <v>264</v>
      </c>
      <c r="I13" s="45">
        <f t="shared" si="2"/>
        <v>1040</v>
      </c>
      <c r="J13" s="36">
        <f t="shared" si="3"/>
        <v>6000</v>
      </c>
      <c r="K13" s="36">
        <f t="shared" si="0"/>
        <v>5860</v>
      </c>
      <c r="L13" s="37">
        <f>IFERROR((_xlfn.IFNA(VLOOKUP($C13,Dulieutho,ChiTiet!K$2,FALSE),"")+_xlfn.IFNA(VLOOKUP($C13,Dulieutho,ChiTiet!AK$2,FALSE),""))/80,0)</f>
        <v>7.875</v>
      </c>
      <c r="M13" s="36">
        <f t="shared" si="4"/>
        <v>1332</v>
      </c>
      <c r="N13" s="38">
        <f t="shared" si="5"/>
        <v>660</v>
      </c>
      <c r="O13" s="46">
        <f t="shared" si="6"/>
        <v>8.25</v>
      </c>
      <c r="P13" s="39">
        <f t="shared" si="7"/>
        <v>660</v>
      </c>
      <c r="Q13" s="40">
        <f t="shared" si="8"/>
        <v>160</v>
      </c>
      <c r="R13" s="36">
        <f t="shared" si="9"/>
        <v>1332</v>
      </c>
      <c r="S13" s="36">
        <f t="shared" si="10"/>
        <v>1332</v>
      </c>
      <c r="T13" s="36">
        <f t="shared" si="11"/>
        <v>1332</v>
      </c>
      <c r="U13" s="36">
        <f t="shared" si="12"/>
        <v>1332</v>
      </c>
      <c r="V13" s="40">
        <f t="shared" si="13"/>
        <v>1040</v>
      </c>
      <c r="W13" s="40">
        <f t="shared" si="14"/>
        <v>160</v>
      </c>
      <c r="X13" s="40">
        <f t="shared" si="15"/>
        <v>132</v>
      </c>
    </row>
    <row r="14" spans="1:24" ht="15.6">
      <c r="B14" s="10" t="s">
        <v>97</v>
      </c>
      <c r="C14" s="9" t="s">
        <v>119</v>
      </c>
      <c r="D14" s="11" t="s">
        <v>120</v>
      </c>
      <c r="E14" s="35">
        <f>_xlfn.IFNA(VLOOKUP($C14,Dulieutho,ChiTiet!F$2,FALSE),"")</f>
        <v>1060</v>
      </c>
      <c r="F14" s="35">
        <f>_xlfn.IFNA(VLOOKUP($C14,Dulieutho,ChiTiet!G$2,FALSE),"")</f>
        <v>240</v>
      </c>
      <c r="G14" s="35">
        <f>_xlfn.IFNA(VLOOKUP($C14,Dulieutho,ChiTiet!H$2,FALSE),"")</f>
        <v>240</v>
      </c>
      <c r="H14" s="35">
        <f>_xlfn.IFNA(VLOOKUP($C14,Dulieutho,ChiTiet!I$2,FALSE),"")</f>
        <v>552</v>
      </c>
      <c r="I14" s="45">
        <f t="shared" si="2"/>
        <v>1300</v>
      </c>
      <c r="J14" s="36">
        <f t="shared" si="3"/>
        <v>7700</v>
      </c>
      <c r="K14" s="36">
        <f t="shared" si="0"/>
        <v>7880</v>
      </c>
      <c r="L14" s="37">
        <f>IFERROR((_xlfn.IFNA(VLOOKUP($C14,Dulieutho,ChiTiet!K$2,FALSE),"")+_xlfn.IFNA(VLOOKUP($C14,Dulieutho,ChiTiet!AK$2,FALSE),""))/80,0)</f>
        <v>9.375</v>
      </c>
      <c r="M14" s="36">
        <f t="shared" si="4"/>
        <v>1816</v>
      </c>
      <c r="N14" s="38">
        <f t="shared" si="5"/>
        <v>1380</v>
      </c>
      <c r="O14" s="46">
        <f t="shared" si="6"/>
        <v>17.25</v>
      </c>
      <c r="P14" s="39">
        <f t="shared" si="7"/>
        <v>1380</v>
      </c>
      <c r="Q14" s="40">
        <f t="shared" si="8"/>
        <v>240</v>
      </c>
      <c r="R14" s="36">
        <f t="shared" si="9"/>
        <v>1816</v>
      </c>
      <c r="S14" s="36">
        <f t="shared" si="10"/>
        <v>1816</v>
      </c>
      <c r="T14" s="36">
        <f t="shared" si="11"/>
        <v>1816</v>
      </c>
      <c r="U14" s="36">
        <f t="shared" si="12"/>
        <v>1816</v>
      </c>
      <c r="V14" s="40">
        <f t="shared" si="13"/>
        <v>1300</v>
      </c>
      <c r="W14" s="40">
        <f t="shared" si="14"/>
        <v>240</v>
      </c>
      <c r="X14" s="40">
        <f t="shared" si="15"/>
        <v>276</v>
      </c>
    </row>
    <row r="15" spans="1:24" ht="15.6">
      <c r="B15" s="10" t="s">
        <v>97</v>
      </c>
      <c r="C15" s="9" t="s">
        <v>121</v>
      </c>
      <c r="D15" s="11" t="s">
        <v>122</v>
      </c>
      <c r="E15" s="35">
        <f>_xlfn.IFNA(VLOOKUP($C15,Dulieutho,ChiTiet!F$2,FALSE),"")</f>
        <v>1040</v>
      </c>
      <c r="F15" s="35">
        <f>_xlfn.IFNA(VLOOKUP($C15,Dulieutho,ChiTiet!G$2,FALSE),"")</f>
        <v>132</v>
      </c>
      <c r="G15" s="35">
        <f>_xlfn.IFNA(VLOOKUP($C15,Dulieutho,ChiTiet!H$2,FALSE),"")</f>
        <v>100</v>
      </c>
      <c r="H15" s="35">
        <f>_xlfn.IFNA(VLOOKUP($C15,Dulieutho,ChiTiet!I$2,FALSE),"")</f>
        <v>72</v>
      </c>
      <c r="I15" s="45">
        <f t="shared" si="2"/>
        <v>1140</v>
      </c>
      <c r="J15" s="36">
        <f t="shared" si="3"/>
        <v>6360</v>
      </c>
      <c r="K15" s="36">
        <f t="shared" si="0"/>
        <v>5880</v>
      </c>
      <c r="L15" s="37">
        <f>IFERROR((_xlfn.IFNA(VLOOKUP($C15,Dulieutho,ChiTiet!K$2,FALSE),"")+_xlfn.IFNA(VLOOKUP($C15,Dulieutho,ChiTiet!AK$2,FALSE),""))/80,0)</f>
        <v>8.25</v>
      </c>
      <c r="M15" s="36">
        <f t="shared" si="4"/>
        <v>1308</v>
      </c>
      <c r="N15" s="38">
        <f t="shared" si="5"/>
        <v>180</v>
      </c>
      <c r="O15" s="46">
        <f t="shared" si="6"/>
        <v>2.25</v>
      </c>
      <c r="P15" s="39">
        <f t="shared" si="7"/>
        <v>180</v>
      </c>
      <c r="Q15" s="40">
        <f t="shared" si="8"/>
        <v>132</v>
      </c>
      <c r="R15" s="36">
        <f t="shared" si="9"/>
        <v>1308</v>
      </c>
      <c r="S15" s="36">
        <f t="shared" si="10"/>
        <v>1308</v>
      </c>
      <c r="T15" s="36">
        <f t="shared" si="11"/>
        <v>1308</v>
      </c>
      <c r="U15" s="36">
        <f t="shared" si="12"/>
        <v>1308</v>
      </c>
      <c r="V15" s="40">
        <f t="shared" si="13"/>
        <v>1140</v>
      </c>
      <c r="W15" s="40">
        <f t="shared" si="14"/>
        <v>132</v>
      </c>
      <c r="X15" s="40">
        <f t="shared" si="15"/>
        <v>36</v>
      </c>
    </row>
    <row r="16" spans="1:24" ht="15.6">
      <c r="B16" s="10" t="s">
        <v>97</v>
      </c>
      <c r="C16" s="9" t="s">
        <v>123</v>
      </c>
      <c r="D16" s="11" t="s">
        <v>124</v>
      </c>
      <c r="E16" s="35">
        <f>_xlfn.IFNA(VLOOKUP($C16,Dulieutho,ChiTiet!F$2,FALSE),"")</f>
        <v>588</v>
      </c>
      <c r="F16" s="35">
        <f>_xlfn.IFNA(VLOOKUP($C16,Dulieutho,ChiTiet!G$2,FALSE),"")</f>
        <v>52</v>
      </c>
      <c r="G16" s="35">
        <f>_xlfn.IFNA(VLOOKUP($C16,Dulieutho,ChiTiet!H$2,FALSE),"")</f>
        <v>220</v>
      </c>
      <c r="H16" s="35">
        <f>_xlfn.IFNA(VLOOKUP($C16,Dulieutho,ChiTiet!I$2,FALSE),"")</f>
        <v>144</v>
      </c>
      <c r="I16" s="45">
        <f t="shared" si="2"/>
        <v>808</v>
      </c>
      <c r="J16" s="36">
        <f t="shared" si="3"/>
        <v>4300</v>
      </c>
      <c r="K16" s="36">
        <f t="shared" si="0"/>
        <v>4400</v>
      </c>
      <c r="L16" s="37">
        <f>IFERROR((_xlfn.IFNA(VLOOKUP($C16,Dulieutho,ChiTiet!K$2,FALSE),"")+_xlfn.IFNA(VLOOKUP($C16,Dulieutho,ChiTiet!AK$2,FALSE),""))/80,0)</f>
        <v>6</v>
      </c>
      <c r="M16" s="36">
        <f t="shared" si="4"/>
        <v>932</v>
      </c>
      <c r="N16" s="38">
        <f t="shared" si="5"/>
        <v>360</v>
      </c>
      <c r="O16" s="46">
        <f t="shared" si="6"/>
        <v>4.5</v>
      </c>
      <c r="P16" s="39">
        <f t="shared" si="7"/>
        <v>360</v>
      </c>
      <c r="Q16" s="40">
        <f t="shared" si="8"/>
        <v>52</v>
      </c>
      <c r="R16" s="36">
        <f t="shared" si="9"/>
        <v>932</v>
      </c>
      <c r="S16" s="36">
        <f t="shared" si="10"/>
        <v>932</v>
      </c>
      <c r="T16" s="36">
        <f t="shared" si="11"/>
        <v>932</v>
      </c>
      <c r="U16" s="36">
        <f t="shared" si="12"/>
        <v>932</v>
      </c>
      <c r="V16" s="40">
        <f t="shared" si="13"/>
        <v>808</v>
      </c>
      <c r="W16" s="40">
        <f t="shared" si="14"/>
        <v>52</v>
      </c>
      <c r="X16" s="40">
        <f t="shared" si="15"/>
        <v>72</v>
      </c>
    </row>
    <row r="17" spans="2:24" ht="15.6">
      <c r="B17" s="10" t="s">
        <v>97</v>
      </c>
      <c r="C17" s="9" t="s">
        <v>125</v>
      </c>
      <c r="D17" s="11" t="s">
        <v>126</v>
      </c>
      <c r="E17" s="35">
        <f>_xlfn.IFNA(VLOOKUP($C17,Dulieutho,ChiTiet!F$2,FALSE),"")</f>
        <v>2688</v>
      </c>
      <c r="F17" s="35">
        <f>_xlfn.IFNA(VLOOKUP($C17,Dulieutho,ChiTiet!G$2,FALSE),"")</f>
        <v>412</v>
      </c>
      <c r="G17" s="35">
        <f>_xlfn.IFNA(VLOOKUP($C17,Dulieutho,ChiTiet!H$2,FALSE),"")</f>
        <v>700</v>
      </c>
      <c r="H17" s="35">
        <f>_xlfn.IFNA(VLOOKUP($C17,Dulieutho,ChiTiet!I$2,FALSE),"")</f>
        <v>600</v>
      </c>
      <c r="I17" s="45">
        <f t="shared" si="2"/>
        <v>3388</v>
      </c>
      <c r="J17" s="36">
        <f t="shared" si="3"/>
        <v>19000</v>
      </c>
      <c r="K17" s="36">
        <f t="shared" si="0"/>
        <v>18440</v>
      </c>
      <c r="L17" s="37">
        <f>IFERROR((_xlfn.IFNA(VLOOKUP($C17,Dulieutho,ChiTiet!K$2,FALSE),"")+_xlfn.IFNA(VLOOKUP($C17,Dulieutho,ChiTiet!AK$2,FALSE),""))/80,0)</f>
        <v>28.125</v>
      </c>
      <c r="M17" s="36">
        <f t="shared" si="4"/>
        <v>4100</v>
      </c>
      <c r="N17" s="38">
        <f t="shared" si="5"/>
        <v>1500</v>
      </c>
      <c r="O17" s="46">
        <f t="shared" si="6"/>
        <v>18.75</v>
      </c>
      <c r="P17" s="39">
        <f t="shared" si="7"/>
        <v>1500</v>
      </c>
      <c r="Q17" s="40">
        <f t="shared" si="8"/>
        <v>412</v>
      </c>
      <c r="R17" s="36">
        <f t="shared" si="9"/>
        <v>4100</v>
      </c>
      <c r="S17" s="36">
        <f t="shared" si="10"/>
        <v>4100</v>
      </c>
      <c r="T17" s="36">
        <f t="shared" si="11"/>
        <v>4100</v>
      </c>
      <c r="U17" s="36">
        <f t="shared" si="12"/>
        <v>4100</v>
      </c>
      <c r="V17" s="40">
        <f t="shared" si="13"/>
        <v>3388</v>
      </c>
      <c r="W17" s="40">
        <f t="shared" si="14"/>
        <v>412</v>
      </c>
      <c r="X17" s="40">
        <f t="shared" si="15"/>
        <v>300</v>
      </c>
    </row>
    <row r="18" spans="2:24" ht="15.6">
      <c r="B18" s="10" t="s">
        <v>97</v>
      </c>
      <c r="C18" s="9" t="s">
        <v>0</v>
      </c>
      <c r="D18" s="11" t="s">
        <v>127</v>
      </c>
      <c r="E18" s="35">
        <f>_xlfn.IFNA(VLOOKUP($C18,Dulieutho,ChiTiet!F$2,FALSE),"")</f>
        <v>888</v>
      </c>
      <c r="F18" s="35">
        <f>_xlfn.IFNA(VLOOKUP($C18,Dulieutho,ChiTiet!G$2,FALSE),"")</f>
        <v>268</v>
      </c>
      <c r="G18" s="35">
        <f>_xlfn.IFNA(VLOOKUP($C18,Dulieutho,ChiTiet!H$2,FALSE),"")</f>
        <v>230</v>
      </c>
      <c r="H18" s="35">
        <f>_xlfn.IFNA(VLOOKUP($C18,Dulieutho,ChiTiet!I$2,FALSE),"")</f>
        <v>384</v>
      </c>
      <c r="I18" s="45">
        <f t="shared" si="2"/>
        <v>1118</v>
      </c>
      <c r="J18" s="36">
        <f t="shared" si="3"/>
        <v>6930</v>
      </c>
      <c r="K18" s="36">
        <f t="shared" si="0"/>
        <v>6550</v>
      </c>
      <c r="L18" s="37">
        <f>IFERROR((_xlfn.IFNA(VLOOKUP($C18,Dulieutho,ChiTiet!K$2,FALSE),"")+_xlfn.IFNA(VLOOKUP($C18,Dulieutho,ChiTiet!AK$2,FALSE),""))/80,0)</f>
        <v>0.75</v>
      </c>
      <c r="M18" s="36">
        <f t="shared" si="4"/>
        <v>1578</v>
      </c>
      <c r="N18" s="38">
        <f t="shared" si="5"/>
        <v>960</v>
      </c>
      <c r="O18" s="46">
        <f t="shared" si="6"/>
        <v>12</v>
      </c>
      <c r="P18" s="39">
        <f t="shared" si="7"/>
        <v>960</v>
      </c>
      <c r="Q18" s="40">
        <f t="shared" si="8"/>
        <v>268</v>
      </c>
      <c r="R18" s="36">
        <f t="shared" si="9"/>
        <v>1578</v>
      </c>
      <c r="S18" s="36">
        <f t="shared" si="10"/>
        <v>1578</v>
      </c>
      <c r="T18" s="36">
        <f t="shared" si="11"/>
        <v>1578</v>
      </c>
      <c r="U18" s="36">
        <f t="shared" si="12"/>
        <v>1578</v>
      </c>
      <c r="V18" s="40">
        <f t="shared" si="13"/>
        <v>1118</v>
      </c>
      <c r="W18" s="40">
        <f t="shared" si="14"/>
        <v>268</v>
      </c>
      <c r="X18" s="40">
        <f t="shared" si="15"/>
        <v>192</v>
      </c>
    </row>
    <row r="19" spans="2:24" ht="15.6">
      <c r="B19" s="10" t="s">
        <v>97</v>
      </c>
      <c r="C19" s="9" t="s">
        <v>128</v>
      </c>
      <c r="D19" s="11" t="s">
        <v>129</v>
      </c>
      <c r="E19" s="35">
        <f>_xlfn.IFNA(VLOOKUP($C19,Dulieutho,ChiTiet!F$2,FALSE),"")</f>
        <v>1136</v>
      </c>
      <c r="F19" s="35">
        <f>_xlfn.IFNA(VLOOKUP($C19,Dulieutho,ChiTiet!G$2,FALSE),"")</f>
        <v>212</v>
      </c>
      <c r="G19" s="35">
        <f>_xlfn.IFNA(VLOOKUP($C19,Dulieutho,ChiTiet!H$2,FALSE),"")</f>
        <v>220</v>
      </c>
      <c r="H19" s="35">
        <f>_xlfn.IFNA(VLOOKUP($C19,Dulieutho,ChiTiet!I$2,FALSE),"")</f>
        <v>240</v>
      </c>
      <c r="I19" s="45">
        <f t="shared" si="2"/>
        <v>1356</v>
      </c>
      <c r="J19" s="36">
        <f t="shared" si="3"/>
        <v>7840</v>
      </c>
      <c r="K19" s="36">
        <f t="shared" si="0"/>
        <v>7380</v>
      </c>
      <c r="L19" s="37">
        <f>IFERROR((_xlfn.IFNA(VLOOKUP($C19,Dulieutho,ChiTiet!K$2,FALSE),"")+_xlfn.IFNA(VLOOKUP($C19,Dulieutho,ChiTiet!AK$2,FALSE),""))/80,0)</f>
        <v>12.375</v>
      </c>
      <c r="M19" s="36">
        <f t="shared" si="4"/>
        <v>1688</v>
      </c>
      <c r="N19" s="38">
        <f t="shared" si="5"/>
        <v>600</v>
      </c>
      <c r="O19" s="46">
        <f t="shared" si="6"/>
        <v>7.5</v>
      </c>
      <c r="P19" s="39">
        <f t="shared" si="7"/>
        <v>600</v>
      </c>
      <c r="Q19" s="40">
        <f t="shared" si="8"/>
        <v>212</v>
      </c>
      <c r="R19" s="36">
        <f t="shared" si="9"/>
        <v>1688</v>
      </c>
      <c r="S19" s="36">
        <f t="shared" si="10"/>
        <v>1688</v>
      </c>
      <c r="T19" s="36">
        <f t="shared" si="11"/>
        <v>1688</v>
      </c>
      <c r="U19" s="36">
        <f t="shared" si="12"/>
        <v>1688</v>
      </c>
      <c r="V19" s="40">
        <f t="shared" si="13"/>
        <v>1356</v>
      </c>
      <c r="W19" s="40">
        <f t="shared" si="14"/>
        <v>212</v>
      </c>
      <c r="X19" s="40">
        <f t="shared" si="15"/>
        <v>120</v>
      </c>
    </row>
    <row r="20" spans="2:24" ht="15.6">
      <c r="B20" s="10" t="s">
        <v>97</v>
      </c>
      <c r="C20" s="9" t="s">
        <v>130</v>
      </c>
      <c r="D20" s="11" t="s">
        <v>131</v>
      </c>
      <c r="E20" s="35">
        <f>_xlfn.IFNA(VLOOKUP($C20,Dulieutho,ChiTiet!F$2,FALSE),"")</f>
        <v>832</v>
      </c>
      <c r="F20" s="35">
        <f>_xlfn.IFNA(VLOOKUP($C20,Dulieutho,ChiTiet!G$2,FALSE),"")</f>
        <v>124</v>
      </c>
      <c r="G20" s="35">
        <f>_xlfn.IFNA(VLOOKUP($C20,Dulieutho,ChiTiet!H$2,FALSE),"")</f>
        <v>430</v>
      </c>
      <c r="H20" s="35">
        <f>_xlfn.IFNA(VLOOKUP($C20,Dulieutho,ChiTiet!I$2,FALSE),"")</f>
        <v>240</v>
      </c>
      <c r="I20" s="45">
        <f t="shared" si="2"/>
        <v>1262</v>
      </c>
      <c r="J20" s="36">
        <f t="shared" si="3"/>
        <v>6930</v>
      </c>
      <c r="K20" s="36">
        <f t="shared" si="0"/>
        <v>6910</v>
      </c>
      <c r="L20" s="37">
        <f>IFERROR((_xlfn.IFNA(VLOOKUP($C20,Dulieutho,ChiTiet!K$2,FALSE),"")+_xlfn.IFNA(VLOOKUP($C20,Dulieutho,ChiTiet!AK$2,FALSE),""))/80,0)</f>
        <v>10.125</v>
      </c>
      <c r="M20" s="36">
        <f t="shared" si="4"/>
        <v>1506</v>
      </c>
      <c r="N20" s="38">
        <f t="shared" si="5"/>
        <v>600</v>
      </c>
      <c r="O20" s="46">
        <f t="shared" si="6"/>
        <v>7.5</v>
      </c>
      <c r="P20" s="39">
        <f t="shared" si="7"/>
        <v>600</v>
      </c>
      <c r="Q20" s="40">
        <f t="shared" si="8"/>
        <v>124</v>
      </c>
      <c r="R20" s="36">
        <f t="shared" si="9"/>
        <v>1506</v>
      </c>
      <c r="S20" s="36">
        <f t="shared" si="10"/>
        <v>1506</v>
      </c>
      <c r="T20" s="36">
        <f t="shared" si="11"/>
        <v>1506</v>
      </c>
      <c r="U20" s="36">
        <f t="shared" si="12"/>
        <v>1506</v>
      </c>
      <c r="V20" s="40">
        <f t="shared" si="13"/>
        <v>1262</v>
      </c>
      <c r="W20" s="40">
        <f t="shared" si="14"/>
        <v>124</v>
      </c>
      <c r="X20" s="40">
        <f t="shared" si="15"/>
        <v>120</v>
      </c>
    </row>
    <row r="21" spans="2:24" ht="15.6">
      <c r="B21" s="10" t="s">
        <v>97</v>
      </c>
      <c r="C21" s="9" t="s">
        <v>132</v>
      </c>
      <c r="D21" s="11" t="s">
        <v>133</v>
      </c>
      <c r="E21" s="35">
        <f>_xlfn.IFNA(VLOOKUP($C21,Dulieutho,ChiTiet!F$2,FALSE),"")</f>
        <v>812</v>
      </c>
      <c r="F21" s="35">
        <f>_xlfn.IFNA(VLOOKUP($C21,Dulieutho,ChiTiet!G$2,FALSE),"")</f>
        <v>92</v>
      </c>
      <c r="G21" s="35">
        <f>_xlfn.IFNA(VLOOKUP($C21,Dulieutho,ChiTiet!H$2,FALSE),"")</f>
        <v>70</v>
      </c>
      <c r="H21" s="35">
        <f>_xlfn.IFNA(VLOOKUP($C21,Dulieutho,ChiTiet!I$2,FALSE),"")</f>
        <v>96</v>
      </c>
      <c r="I21" s="45">
        <f t="shared" si="2"/>
        <v>882</v>
      </c>
      <c r="J21" s="36">
        <f t="shared" si="3"/>
        <v>4870</v>
      </c>
      <c r="K21" s="36">
        <f t="shared" si="0"/>
        <v>4650</v>
      </c>
      <c r="L21" s="37">
        <f>IFERROR((_xlfn.IFNA(VLOOKUP($C21,Dulieutho,ChiTiet!K$2,FALSE),"")+_xlfn.IFNA(VLOOKUP($C21,Dulieutho,ChiTiet!AK$2,FALSE),""))/80,0)</f>
        <v>12</v>
      </c>
      <c r="M21" s="36">
        <f t="shared" si="4"/>
        <v>1022</v>
      </c>
      <c r="N21" s="38">
        <f t="shared" si="5"/>
        <v>240</v>
      </c>
      <c r="O21" s="46">
        <f t="shared" si="6"/>
        <v>3</v>
      </c>
      <c r="P21" s="39">
        <f t="shared" si="7"/>
        <v>240</v>
      </c>
      <c r="Q21" s="40">
        <f t="shared" si="8"/>
        <v>92</v>
      </c>
      <c r="R21" s="36">
        <f t="shared" si="9"/>
        <v>1022</v>
      </c>
      <c r="S21" s="36">
        <f t="shared" si="10"/>
        <v>1022</v>
      </c>
      <c r="T21" s="36">
        <f t="shared" si="11"/>
        <v>1022</v>
      </c>
      <c r="U21" s="36">
        <f t="shared" si="12"/>
        <v>1022</v>
      </c>
      <c r="V21" s="40">
        <f t="shared" si="13"/>
        <v>882</v>
      </c>
      <c r="W21" s="40">
        <f t="shared" si="14"/>
        <v>92</v>
      </c>
      <c r="X21" s="40">
        <f t="shared" si="15"/>
        <v>48</v>
      </c>
    </row>
    <row r="22" spans="2:24" ht="15.6">
      <c r="B22" s="10" t="s">
        <v>97</v>
      </c>
      <c r="C22" s="9" t="s">
        <v>134</v>
      </c>
      <c r="D22" s="11" t="s">
        <v>135</v>
      </c>
      <c r="E22" s="35">
        <f>_xlfn.IFNA(VLOOKUP($C22,Dulieutho,ChiTiet!F$2,FALSE),"")</f>
        <v>916</v>
      </c>
      <c r="F22" s="35">
        <f>_xlfn.IFNA(VLOOKUP($C22,Dulieutho,ChiTiet!G$2,FALSE),"")</f>
        <v>104</v>
      </c>
      <c r="G22" s="35">
        <f>_xlfn.IFNA(VLOOKUP($C22,Dulieutho,ChiTiet!H$2,FALSE),"")</f>
        <v>150</v>
      </c>
      <c r="H22" s="35">
        <f>_xlfn.IFNA(VLOOKUP($C22,Dulieutho,ChiTiet!I$2,FALSE),"")</f>
        <v>168</v>
      </c>
      <c r="I22" s="45">
        <f t="shared" si="2"/>
        <v>1066</v>
      </c>
      <c r="J22" s="36">
        <f t="shared" si="3"/>
        <v>5850</v>
      </c>
      <c r="K22" s="36">
        <f t="shared" si="0"/>
        <v>5750</v>
      </c>
      <c r="L22" s="37">
        <f>IFERROR((_xlfn.IFNA(VLOOKUP($C22,Dulieutho,ChiTiet!K$2,FALSE),"")+_xlfn.IFNA(VLOOKUP($C22,Dulieutho,ChiTiet!AK$2,FALSE),""))/80,0)</f>
        <v>10.875</v>
      </c>
      <c r="M22" s="36">
        <f t="shared" si="4"/>
        <v>1254</v>
      </c>
      <c r="N22" s="38">
        <f t="shared" si="5"/>
        <v>420</v>
      </c>
      <c r="O22" s="46">
        <f t="shared" si="6"/>
        <v>5.25</v>
      </c>
      <c r="P22" s="39">
        <f t="shared" si="7"/>
        <v>420</v>
      </c>
      <c r="Q22" s="40">
        <f t="shared" si="8"/>
        <v>104</v>
      </c>
      <c r="R22" s="36">
        <f t="shared" si="9"/>
        <v>1254</v>
      </c>
      <c r="S22" s="36">
        <f t="shared" si="10"/>
        <v>1254</v>
      </c>
      <c r="T22" s="36">
        <f t="shared" si="11"/>
        <v>1254</v>
      </c>
      <c r="U22" s="36">
        <f t="shared" si="12"/>
        <v>1254</v>
      </c>
      <c r="V22" s="40">
        <f t="shared" si="13"/>
        <v>1066</v>
      </c>
      <c r="W22" s="40">
        <f t="shared" si="14"/>
        <v>104</v>
      </c>
      <c r="X22" s="40">
        <f t="shared" si="15"/>
        <v>84</v>
      </c>
    </row>
    <row r="23" spans="2:24" ht="15.6">
      <c r="B23" s="10" t="s">
        <v>97</v>
      </c>
      <c r="C23" s="9" t="s">
        <v>136</v>
      </c>
      <c r="D23" s="11" t="s">
        <v>137</v>
      </c>
      <c r="E23" s="35">
        <f>_xlfn.IFNA(VLOOKUP($C23,Dulieutho,ChiTiet!F$2,FALSE),"")</f>
        <v>460</v>
      </c>
      <c r="F23" s="35">
        <f>_xlfn.IFNA(VLOOKUP($C23,Dulieutho,ChiTiet!G$2,FALSE),"")</f>
        <v>48</v>
      </c>
      <c r="G23" s="35">
        <f>_xlfn.IFNA(VLOOKUP($C23,Dulieutho,ChiTiet!H$2,FALSE),"")</f>
        <v>60</v>
      </c>
      <c r="H23" s="35">
        <f>_xlfn.IFNA(VLOOKUP($C23,Dulieutho,ChiTiet!I$2,FALSE),"")</f>
        <v>24</v>
      </c>
      <c r="I23" s="45">
        <f t="shared" si="2"/>
        <v>520</v>
      </c>
      <c r="J23" s="36">
        <f t="shared" si="3"/>
        <v>2840</v>
      </c>
      <c r="K23" s="36">
        <f t="shared" si="0"/>
        <v>2660</v>
      </c>
      <c r="L23" s="37">
        <f>IFERROR((_xlfn.IFNA(VLOOKUP($C23,Dulieutho,ChiTiet!K$2,FALSE),"")+_xlfn.IFNA(VLOOKUP($C23,Dulieutho,ChiTiet!AK$2,FALSE),""))/80,0)</f>
        <v>8.625</v>
      </c>
      <c r="M23" s="36">
        <f t="shared" si="4"/>
        <v>580</v>
      </c>
      <c r="N23" s="38">
        <f t="shared" si="5"/>
        <v>60</v>
      </c>
      <c r="O23" s="46">
        <f t="shared" si="6"/>
        <v>0.75</v>
      </c>
      <c r="P23" s="39">
        <f t="shared" si="7"/>
        <v>60</v>
      </c>
      <c r="Q23" s="40">
        <f t="shared" si="8"/>
        <v>48</v>
      </c>
      <c r="R23" s="36">
        <f t="shared" si="9"/>
        <v>580</v>
      </c>
      <c r="S23" s="36">
        <f t="shared" si="10"/>
        <v>580</v>
      </c>
      <c r="T23" s="36">
        <f t="shared" si="11"/>
        <v>580</v>
      </c>
      <c r="U23" s="36">
        <f t="shared" si="12"/>
        <v>580</v>
      </c>
      <c r="V23" s="40">
        <f t="shared" si="13"/>
        <v>520</v>
      </c>
      <c r="W23" s="40">
        <f t="shared" si="14"/>
        <v>48</v>
      </c>
      <c r="X23" s="40">
        <f t="shared" si="15"/>
        <v>12</v>
      </c>
    </row>
    <row r="24" spans="2:24" ht="15.6">
      <c r="B24" s="10" t="s">
        <v>97</v>
      </c>
      <c r="C24" s="9" t="s">
        <v>138</v>
      </c>
      <c r="D24" s="11" t="s">
        <v>139</v>
      </c>
      <c r="E24" s="35">
        <f>_xlfn.IFNA(VLOOKUP($C24,Dulieutho,ChiTiet!F$2,FALSE),"")</f>
        <v>812</v>
      </c>
      <c r="F24" s="35">
        <f>_xlfn.IFNA(VLOOKUP($C24,Dulieutho,ChiTiet!G$2,FALSE),"")</f>
        <v>128</v>
      </c>
      <c r="G24" s="35">
        <f>_xlfn.IFNA(VLOOKUP($C24,Dulieutho,ChiTiet!H$2,FALSE),"")</f>
        <v>280</v>
      </c>
      <c r="H24" s="35">
        <f>_xlfn.IFNA(VLOOKUP($C24,Dulieutho,ChiTiet!I$2,FALSE),"")</f>
        <v>384</v>
      </c>
      <c r="I24" s="45">
        <f t="shared" si="2"/>
        <v>1092</v>
      </c>
      <c r="J24" s="36">
        <f t="shared" si="3"/>
        <v>6100</v>
      </c>
      <c r="K24" s="36">
        <f t="shared" si="0"/>
        <v>6420</v>
      </c>
      <c r="L24" s="37">
        <f>IFERROR((_xlfn.IFNA(VLOOKUP($C24,Dulieutho,ChiTiet!K$2,FALSE),"")+_xlfn.IFNA(VLOOKUP($C24,Dulieutho,ChiTiet!AK$2,FALSE),""))/80,0)</f>
        <v>9.375</v>
      </c>
      <c r="M24" s="36">
        <f t="shared" si="4"/>
        <v>1412</v>
      </c>
      <c r="N24" s="38">
        <f t="shared" si="5"/>
        <v>960</v>
      </c>
      <c r="O24" s="46">
        <f t="shared" si="6"/>
        <v>12</v>
      </c>
      <c r="P24" s="39">
        <f t="shared" si="7"/>
        <v>960</v>
      </c>
      <c r="Q24" s="40">
        <f t="shared" si="8"/>
        <v>128</v>
      </c>
      <c r="R24" s="36">
        <f t="shared" si="9"/>
        <v>1412</v>
      </c>
      <c r="S24" s="36">
        <f t="shared" si="10"/>
        <v>1412</v>
      </c>
      <c r="T24" s="36">
        <f t="shared" si="11"/>
        <v>1412</v>
      </c>
      <c r="U24" s="36">
        <f t="shared" si="12"/>
        <v>1412</v>
      </c>
      <c r="V24" s="40">
        <f t="shared" si="13"/>
        <v>1092</v>
      </c>
      <c r="W24" s="40">
        <f t="shared" si="14"/>
        <v>128</v>
      </c>
      <c r="X24" s="40">
        <f t="shared" si="15"/>
        <v>192</v>
      </c>
    </row>
    <row r="25" spans="2:24" ht="15.6">
      <c r="B25" s="10" t="s">
        <v>97</v>
      </c>
      <c r="C25" s="9" t="s">
        <v>140</v>
      </c>
      <c r="D25" s="11" t="s">
        <v>141</v>
      </c>
      <c r="E25" s="35">
        <f>_xlfn.IFNA(VLOOKUP($C25,Dulieutho,ChiTiet!F$2,FALSE),"")</f>
        <v>1620</v>
      </c>
      <c r="F25" s="35">
        <f>_xlfn.IFNA(VLOOKUP($C25,Dulieutho,ChiTiet!G$2,FALSE),"")</f>
        <v>192</v>
      </c>
      <c r="G25" s="35">
        <f>_xlfn.IFNA(VLOOKUP($C25,Dulieutho,ChiTiet!H$2,FALSE),"")</f>
        <v>130</v>
      </c>
      <c r="H25" s="35">
        <f>_xlfn.IFNA(VLOOKUP($C25,Dulieutho,ChiTiet!I$2,FALSE),"")</f>
        <v>216</v>
      </c>
      <c r="I25" s="45">
        <f t="shared" si="2"/>
        <v>1750</v>
      </c>
      <c r="J25" s="36">
        <f t="shared" si="3"/>
        <v>9710</v>
      </c>
      <c r="K25" s="36">
        <f t="shared" si="0"/>
        <v>9290</v>
      </c>
      <c r="L25" s="37">
        <f>IFERROR((_xlfn.IFNA(VLOOKUP($C25,Dulieutho,ChiTiet!K$2,FALSE),"")+_xlfn.IFNA(VLOOKUP($C25,Dulieutho,ChiTiet!AK$2,FALSE),""))/80,0)</f>
        <v>11.625</v>
      </c>
      <c r="M25" s="36">
        <f t="shared" si="4"/>
        <v>2050</v>
      </c>
      <c r="N25" s="38">
        <f t="shared" si="5"/>
        <v>540</v>
      </c>
      <c r="O25" s="46">
        <f t="shared" si="6"/>
        <v>6.75</v>
      </c>
      <c r="P25" s="39">
        <f t="shared" si="7"/>
        <v>540</v>
      </c>
      <c r="Q25" s="40">
        <f t="shared" si="8"/>
        <v>192</v>
      </c>
      <c r="R25" s="36">
        <f t="shared" si="9"/>
        <v>2050</v>
      </c>
      <c r="S25" s="36">
        <f t="shared" si="10"/>
        <v>2050</v>
      </c>
      <c r="T25" s="36">
        <f t="shared" si="11"/>
        <v>2050</v>
      </c>
      <c r="U25" s="36">
        <f t="shared" si="12"/>
        <v>2050</v>
      </c>
      <c r="V25" s="40">
        <f t="shared" si="13"/>
        <v>1750</v>
      </c>
      <c r="W25" s="40">
        <f t="shared" si="14"/>
        <v>192</v>
      </c>
      <c r="X25" s="40">
        <f t="shared" si="15"/>
        <v>108</v>
      </c>
    </row>
    <row r="26" spans="2:24" ht="15.6">
      <c r="B26" s="10" t="s">
        <v>97</v>
      </c>
      <c r="C26" s="9" t="s">
        <v>142</v>
      </c>
      <c r="D26" s="11" t="s">
        <v>143</v>
      </c>
      <c r="E26" s="35">
        <f>_xlfn.IFNA(VLOOKUP($C26,Dulieutho,ChiTiet!F$2,FALSE),"")</f>
        <v>688</v>
      </c>
      <c r="F26" s="35">
        <f>_xlfn.IFNA(VLOOKUP($C26,Dulieutho,ChiTiet!G$2,FALSE),"")</f>
        <v>116</v>
      </c>
      <c r="G26" s="35">
        <f>_xlfn.IFNA(VLOOKUP($C26,Dulieutho,ChiTiet!H$2,FALSE),"")</f>
        <v>100</v>
      </c>
      <c r="H26" s="35">
        <f>_xlfn.IFNA(VLOOKUP($C26,Dulieutho,ChiTiet!I$2,FALSE),"")</f>
        <v>240</v>
      </c>
      <c r="I26" s="45">
        <f t="shared" si="2"/>
        <v>788</v>
      </c>
      <c r="J26" s="36">
        <f t="shared" si="3"/>
        <v>4520</v>
      </c>
      <c r="K26" s="36">
        <f t="shared" si="0"/>
        <v>4540</v>
      </c>
      <c r="L26" s="37">
        <f>IFERROR((_xlfn.IFNA(VLOOKUP($C26,Dulieutho,ChiTiet!K$2,FALSE),"")+_xlfn.IFNA(VLOOKUP($C26,Dulieutho,ChiTiet!AK$2,FALSE),""))/80,0)</f>
        <v>7.875</v>
      </c>
      <c r="M26" s="36">
        <f t="shared" si="4"/>
        <v>1024</v>
      </c>
      <c r="N26" s="38">
        <f t="shared" si="5"/>
        <v>600</v>
      </c>
      <c r="O26" s="46">
        <f t="shared" si="6"/>
        <v>7.5</v>
      </c>
      <c r="P26" s="39">
        <f t="shared" si="7"/>
        <v>600</v>
      </c>
      <c r="Q26" s="40">
        <f t="shared" si="8"/>
        <v>116</v>
      </c>
      <c r="R26" s="36">
        <f t="shared" si="9"/>
        <v>1024</v>
      </c>
      <c r="S26" s="36">
        <f t="shared" si="10"/>
        <v>1024</v>
      </c>
      <c r="T26" s="36">
        <f t="shared" si="11"/>
        <v>1024</v>
      </c>
      <c r="U26" s="36">
        <f t="shared" si="12"/>
        <v>1024</v>
      </c>
      <c r="V26" s="40">
        <f t="shared" si="13"/>
        <v>788</v>
      </c>
      <c r="W26" s="40">
        <f t="shared" si="14"/>
        <v>116</v>
      </c>
      <c r="X26" s="40">
        <f t="shared" si="15"/>
        <v>120</v>
      </c>
    </row>
    <row r="27" spans="2:24" ht="15.6">
      <c r="B27" s="10" t="s">
        <v>97</v>
      </c>
      <c r="C27" s="9" t="s">
        <v>144</v>
      </c>
      <c r="D27" s="11" t="s">
        <v>145</v>
      </c>
      <c r="E27" s="35">
        <f>_xlfn.IFNA(VLOOKUP($C27,Dulieutho,ChiTiet!F$2,FALSE),"")</f>
        <v>728</v>
      </c>
      <c r="F27" s="35">
        <f>_xlfn.IFNA(VLOOKUP($C27,Dulieutho,ChiTiet!G$2,FALSE),"")</f>
        <v>100</v>
      </c>
      <c r="G27" s="35">
        <f>_xlfn.IFNA(VLOOKUP($C27,Dulieutho,ChiTiet!H$2,FALSE),"")</f>
        <v>210</v>
      </c>
      <c r="H27" s="35">
        <f>_xlfn.IFNA(VLOOKUP($C27,Dulieutho,ChiTiet!I$2,FALSE),"")</f>
        <v>288</v>
      </c>
      <c r="I27" s="45">
        <f t="shared" si="2"/>
        <v>938</v>
      </c>
      <c r="J27" s="36">
        <f t="shared" si="3"/>
        <v>5190</v>
      </c>
      <c r="K27" s="36">
        <f t="shared" si="0"/>
        <v>5410</v>
      </c>
      <c r="L27" s="37">
        <f>IFERROR((_xlfn.IFNA(VLOOKUP($C27,Dulieutho,ChiTiet!K$2,FALSE),"")+_xlfn.IFNA(VLOOKUP($C27,Dulieutho,ChiTiet!AK$2,FALSE),""))/80,0)</f>
        <v>26.25</v>
      </c>
      <c r="M27" s="36">
        <f t="shared" si="4"/>
        <v>1182</v>
      </c>
      <c r="N27" s="38">
        <f t="shared" si="5"/>
        <v>720</v>
      </c>
      <c r="O27" s="46">
        <f t="shared" si="6"/>
        <v>9</v>
      </c>
      <c r="P27" s="39">
        <f t="shared" si="7"/>
        <v>720</v>
      </c>
      <c r="Q27" s="40">
        <f t="shared" si="8"/>
        <v>100</v>
      </c>
      <c r="R27" s="36">
        <f t="shared" si="9"/>
        <v>1182</v>
      </c>
      <c r="S27" s="36">
        <f t="shared" si="10"/>
        <v>1182</v>
      </c>
      <c r="T27" s="36">
        <f t="shared" si="11"/>
        <v>1182</v>
      </c>
      <c r="U27" s="36">
        <f t="shared" si="12"/>
        <v>1182</v>
      </c>
      <c r="V27" s="40">
        <f t="shared" si="13"/>
        <v>938</v>
      </c>
      <c r="W27" s="40">
        <f t="shared" si="14"/>
        <v>100</v>
      </c>
      <c r="X27" s="40">
        <f t="shared" si="15"/>
        <v>144</v>
      </c>
    </row>
    <row r="28" spans="2:24" ht="15.6">
      <c r="B28" s="10" t="s">
        <v>97</v>
      </c>
      <c r="C28" s="9" t="s">
        <v>146</v>
      </c>
      <c r="D28" s="11" t="s">
        <v>147</v>
      </c>
      <c r="E28" s="35">
        <f>_xlfn.IFNA(VLOOKUP($C28,Dulieutho,ChiTiet!F$2,FALSE),"")</f>
        <v>644</v>
      </c>
      <c r="F28" s="35">
        <f>_xlfn.IFNA(VLOOKUP($C28,Dulieutho,ChiTiet!G$2,FALSE),"")</f>
        <v>96</v>
      </c>
      <c r="G28" s="35">
        <f>_xlfn.IFNA(VLOOKUP($C28,Dulieutho,ChiTiet!H$2,FALSE),"")</f>
        <v>80</v>
      </c>
      <c r="H28" s="35">
        <f>_xlfn.IFNA(VLOOKUP($C28,Dulieutho,ChiTiet!I$2,FALSE),"")</f>
        <v>24</v>
      </c>
      <c r="I28" s="45">
        <f t="shared" si="2"/>
        <v>724</v>
      </c>
      <c r="J28" s="36">
        <f t="shared" si="3"/>
        <v>4100</v>
      </c>
      <c r="K28" s="36">
        <f t="shared" si="0"/>
        <v>3680</v>
      </c>
      <c r="L28" s="37">
        <f>IFERROR((_xlfn.IFNA(VLOOKUP($C28,Dulieutho,ChiTiet!K$2,FALSE),"")+_xlfn.IFNA(VLOOKUP($C28,Dulieutho,ChiTiet!AK$2,FALSE),""))/80,0)</f>
        <v>6</v>
      </c>
      <c r="M28" s="36">
        <f t="shared" si="4"/>
        <v>832</v>
      </c>
      <c r="N28" s="38">
        <f t="shared" si="5"/>
        <v>60</v>
      </c>
      <c r="O28" s="46">
        <f t="shared" si="6"/>
        <v>0.75</v>
      </c>
      <c r="P28" s="39">
        <f t="shared" si="7"/>
        <v>60</v>
      </c>
      <c r="Q28" s="40">
        <f t="shared" si="8"/>
        <v>96</v>
      </c>
      <c r="R28" s="36">
        <f t="shared" si="9"/>
        <v>832</v>
      </c>
      <c r="S28" s="36">
        <f t="shared" si="10"/>
        <v>832</v>
      </c>
      <c r="T28" s="36">
        <f t="shared" si="11"/>
        <v>832</v>
      </c>
      <c r="U28" s="36">
        <f t="shared" si="12"/>
        <v>832</v>
      </c>
      <c r="V28" s="40">
        <f t="shared" si="13"/>
        <v>724</v>
      </c>
      <c r="W28" s="40">
        <f t="shared" si="14"/>
        <v>96</v>
      </c>
      <c r="X28" s="40">
        <f t="shared" si="15"/>
        <v>12</v>
      </c>
    </row>
    <row r="29" spans="2:24" ht="15.6">
      <c r="B29" s="10" t="s">
        <v>97</v>
      </c>
      <c r="C29" s="9" t="s">
        <v>148</v>
      </c>
      <c r="D29" s="11" t="s">
        <v>149</v>
      </c>
      <c r="E29" s="35">
        <f>_xlfn.IFNA(VLOOKUP($C29,Dulieutho,ChiTiet!F$2,FALSE),"")</f>
        <v>1248</v>
      </c>
      <c r="F29" s="35">
        <f>_xlfn.IFNA(VLOOKUP($C29,Dulieutho,ChiTiet!G$2,FALSE),"")</f>
        <v>116</v>
      </c>
      <c r="G29" s="35">
        <f>_xlfn.IFNA(VLOOKUP($C29,Dulieutho,ChiTiet!H$2,FALSE),"")</f>
        <v>180</v>
      </c>
      <c r="H29" s="35">
        <f>_xlfn.IFNA(VLOOKUP($C29,Dulieutho,ChiTiet!I$2,FALSE),"")</f>
        <v>264</v>
      </c>
      <c r="I29" s="45">
        <f t="shared" si="2"/>
        <v>1428</v>
      </c>
      <c r="J29" s="36">
        <f t="shared" si="3"/>
        <v>7720</v>
      </c>
      <c r="K29" s="36">
        <f t="shared" si="0"/>
        <v>7800</v>
      </c>
      <c r="L29" s="37">
        <f>IFERROR((_xlfn.IFNA(VLOOKUP($C29,Dulieutho,ChiTiet!K$2,FALSE),"")+_xlfn.IFNA(VLOOKUP($C29,Dulieutho,ChiTiet!AK$2,FALSE),""))/80,0)</f>
        <v>9.375</v>
      </c>
      <c r="M29" s="36">
        <f t="shared" si="4"/>
        <v>1676</v>
      </c>
      <c r="N29" s="38">
        <f t="shared" si="5"/>
        <v>660</v>
      </c>
      <c r="O29" s="46">
        <f t="shared" si="6"/>
        <v>8.25</v>
      </c>
      <c r="P29" s="39">
        <f t="shared" si="7"/>
        <v>660</v>
      </c>
      <c r="Q29" s="40">
        <f t="shared" si="8"/>
        <v>116</v>
      </c>
      <c r="R29" s="36">
        <f t="shared" si="9"/>
        <v>1676</v>
      </c>
      <c r="S29" s="36">
        <f t="shared" si="10"/>
        <v>1676</v>
      </c>
      <c r="T29" s="36">
        <f t="shared" si="11"/>
        <v>1676</v>
      </c>
      <c r="U29" s="36">
        <f t="shared" si="12"/>
        <v>1676</v>
      </c>
      <c r="V29" s="40">
        <f t="shared" si="13"/>
        <v>1428</v>
      </c>
      <c r="W29" s="40">
        <f t="shared" si="14"/>
        <v>116</v>
      </c>
      <c r="X29" s="40">
        <f t="shared" si="15"/>
        <v>132</v>
      </c>
    </row>
    <row r="30" spans="2:24" ht="15.6">
      <c r="B30" s="10" t="s">
        <v>97</v>
      </c>
      <c r="C30" s="9" t="s">
        <v>150</v>
      </c>
      <c r="D30" s="11" t="s">
        <v>151</v>
      </c>
      <c r="E30" s="35">
        <f>_xlfn.IFNA(VLOOKUP($C30,Dulieutho,ChiTiet!F$2,FALSE),"")</f>
        <v>1288</v>
      </c>
      <c r="F30" s="35">
        <f>_xlfn.IFNA(VLOOKUP($C30,Dulieutho,ChiTiet!G$2,FALSE),"")</f>
        <v>244</v>
      </c>
      <c r="G30" s="35">
        <f>_xlfn.IFNA(VLOOKUP($C30,Dulieutho,ChiTiet!H$2,FALSE),"")</f>
        <v>290</v>
      </c>
      <c r="H30" s="35">
        <f>_xlfn.IFNA(VLOOKUP($C30,Dulieutho,ChiTiet!I$2,FALSE),"")</f>
        <v>48</v>
      </c>
      <c r="I30" s="45">
        <f t="shared" si="2"/>
        <v>1578</v>
      </c>
      <c r="J30" s="36">
        <f t="shared" si="3"/>
        <v>9110</v>
      </c>
      <c r="K30" s="36">
        <f t="shared" si="0"/>
        <v>8010</v>
      </c>
      <c r="L30" s="37">
        <f>IFERROR((_xlfn.IFNA(VLOOKUP($C30,Dulieutho,ChiTiet!K$2,FALSE),"")+_xlfn.IFNA(VLOOKUP($C30,Dulieutho,ChiTiet!AK$2,FALSE),""))/80,0)</f>
        <v>13.875</v>
      </c>
      <c r="M30" s="36">
        <f t="shared" si="4"/>
        <v>1846</v>
      </c>
      <c r="N30" s="38">
        <f t="shared" si="5"/>
        <v>120</v>
      </c>
      <c r="O30" s="46">
        <f t="shared" si="6"/>
        <v>1.5</v>
      </c>
      <c r="P30" s="39">
        <f t="shared" si="7"/>
        <v>120</v>
      </c>
      <c r="Q30" s="40">
        <f t="shared" si="8"/>
        <v>244</v>
      </c>
      <c r="R30" s="36">
        <f t="shared" si="9"/>
        <v>1846</v>
      </c>
      <c r="S30" s="36">
        <f t="shared" si="10"/>
        <v>1846</v>
      </c>
      <c r="T30" s="36">
        <f t="shared" si="11"/>
        <v>1846</v>
      </c>
      <c r="U30" s="36">
        <f t="shared" si="12"/>
        <v>1846</v>
      </c>
      <c r="V30" s="40">
        <f t="shared" si="13"/>
        <v>1578</v>
      </c>
      <c r="W30" s="40">
        <f t="shared" si="14"/>
        <v>244</v>
      </c>
      <c r="X30" s="40">
        <f t="shared" si="15"/>
        <v>24</v>
      </c>
    </row>
    <row r="31" spans="2:24" ht="15.6">
      <c r="B31" s="10" t="s">
        <v>97</v>
      </c>
      <c r="C31" s="9" t="s">
        <v>152</v>
      </c>
      <c r="D31" s="11" t="s">
        <v>153</v>
      </c>
      <c r="E31" s="35">
        <f>_xlfn.IFNA(VLOOKUP($C31,Dulieutho,ChiTiet!F$2,FALSE),"")</f>
        <v>980</v>
      </c>
      <c r="F31" s="35">
        <f>_xlfn.IFNA(VLOOKUP($C31,Dulieutho,ChiTiet!G$2,FALSE),"")</f>
        <v>60</v>
      </c>
      <c r="G31" s="35">
        <f>_xlfn.IFNA(VLOOKUP($C31,Dulieutho,ChiTiet!H$2,FALSE),"")</f>
        <v>50</v>
      </c>
      <c r="H31" s="35">
        <f>_xlfn.IFNA(VLOOKUP($C31,Dulieutho,ChiTiet!I$2,FALSE),"")</f>
        <v>0</v>
      </c>
      <c r="I31" s="45">
        <f t="shared" si="2"/>
        <v>1030</v>
      </c>
      <c r="J31" s="36">
        <f t="shared" si="3"/>
        <v>5450</v>
      </c>
      <c r="K31" s="36">
        <f t="shared" si="0"/>
        <v>5150</v>
      </c>
      <c r="L31" s="37">
        <f>IFERROR((_xlfn.IFNA(VLOOKUP($C31,Dulieutho,ChiTiet!K$2,FALSE),"")+_xlfn.IFNA(VLOOKUP($C31,Dulieutho,ChiTiet!AK$2,FALSE),""))/80,0)</f>
        <v>10.875</v>
      </c>
      <c r="M31" s="36">
        <f t="shared" si="4"/>
        <v>1090</v>
      </c>
      <c r="N31" s="38">
        <f t="shared" si="5"/>
        <v>0</v>
      </c>
      <c r="O31" s="46">
        <f t="shared" si="6"/>
        <v>0</v>
      </c>
      <c r="P31" s="39">
        <f t="shared" si="7"/>
        <v>0</v>
      </c>
      <c r="Q31" s="40">
        <f t="shared" si="8"/>
        <v>60</v>
      </c>
      <c r="R31" s="36">
        <f t="shared" si="9"/>
        <v>1090</v>
      </c>
      <c r="S31" s="36">
        <f t="shared" si="10"/>
        <v>1090</v>
      </c>
      <c r="T31" s="36">
        <f t="shared" si="11"/>
        <v>1090</v>
      </c>
      <c r="U31" s="36">
        <f t="shared" si="12"/>
        <v>1090</v>
      </c>
      <c r="V31" s="40">
        <f t="shared" si="13"/>
        <v>1030</v>
      </c>
      <c r="W31" s="40">
        <f t="shared" si="14"/>
        <v>60</v>
      </c>
      <c r="X31" s="40">
        <f t="shared" si="15"/>
        <v>0</v>
      </c>
    </row>
    <row r="32" spans="2:24" ht="15.6">
      <c r="B32" s="10" t="s">
        <v>97</v>
      </c>
      <c r="C32" s="9" t="s">
        <v>154</v>
      </c>
      <c r="D32" s="11" t="s">
        <v>155</v>
      </c>
      <c r="E32" s="35">
        <f>_xlfn.IFNA(VLOOKUP($C32,Dulieutho,ChiTiet!F$2,FALSE),"")</f>
        <v>1080</v>
      </c>
      <c r="F32" s="35">
        <f>_xlfn.IFNA(VLOOKUP($C32,Dulieutho,ChiTiet!G$2,FALSE),"")</f>
        <v>180</v>
      </c>
      <c r="G32" s="35">
        <f>_xlfn.IFNA(VLOOKUP($C32,Dulieutho,ChiTiet!H$2,FALSE),"")</f>
        <v>790</v>
      </c>
      <c r="H32" s="35">
        <f>_xlfn.IFNA(VLOOKUP($C32,Dulieutho,ChiTiet!I$2,FALSE),"")</f>
        <v>480</v>
      </c>
      <c r="I32" s="45">
        <f t="shared" si="2"/>
        <v>1870</v>
      </c>
      <c r="J32" s="36">
        <f t="shared" si="3"/>
        <v>10250</v>
      </c>
      <c r="K32" s="36">
        <f t="shared" si="0"/>
        <v>10550</v>
      </c>
      <c r="L32" s="37">
        <f>IFERROR((_xlfn.IFNA(VLOOKUP($C32,Dulieutho,ChiTiet!K$2,FALSE),"")+_xlfn.IFNA(VLOOKUP($C32,Dulieutho,ChiTiet!AK$2,FALSE),""))/80,0)</f>
        <v>14.625</v>
      </c>
      <c r="M32" s="36">
        <f t="shared" si="4"/>
        <v>2290</v>
      </c>
      <c r="N32" s="38">
        <f t="shared" si="5"/>
        <v>1200</v>
      </c>
      <c r="O32" s="46">
        <f t="shared" si="6"/>
        <v>15</v>
      </c>
      <c r="P32" s="39">
        <f t="shared" si="7"/>
        <v>1200</v>
      </c>
      <c r="Q32" s="40">
        <f t="shared" si="8"/>
        <v>180</v>
      </c>
      <c r="R32" s="36">
        <f t="shared" si="9"/>
        <v>2290</v>
      </c>
      <c r="S32" s="36">
        <f t="shared" si="10"/>
        <v>2290</v>
      </c>
      <c r="T32" s="36">
        <f t="shared" si="11"/>
        <v>2290</v>
      </c>
      <c r="U32" s="36">
        <f t="shared" si="12"/>
        <v>2290</v>
      </c>
      <c r="V32" s="40">
        <f t="shared" si="13"/>
        <v>1870</v>
      </c>
      <c r="W32" s="40">
        <f t="shared" si="14"/>
        <v>180</v>
      </c>
      <c r="X32" s="40">
        <f t="shared" si="15"/>
        <v>240</v>
      </c>
    </row>
    <row r="33" spans="2:24" ht="15.6">
      <c r="B33" s="10" t="s">
        <v>97</v>
      </c>
      <c r="C33" s="9" t="s">
        <v>156</v>
      </c>
      <c r="D33" s="11" t="s">
        <v>157</v>
      </c>
      <c r="E33" s="35">
        <f>_xlfn.IFNA(VLOOKUP($C33,Dulieutho,ChiTiet!F$2,FALSE),"")</f>
        <v>208</v>
      </c>
      <c r="F33" s="35">
        <f>_xlfn.IFNA(VLOOKUP($C33,Dulieutho,ChiTiet!G$2,FALSE),"")</f>
        <v>36</v>
      </c>
      <c r="G33" s="35">
        <f>_xlfn.IFNA(VLOOKUP($C33,Dulieutho,ChiTiet!H$2,FALSE),"")</f>
        <v>70</v>
      </c>
      <c r="H33" s="35">
        <f>_xlfn.IFNA(VLOOKUP($C33,Dulieutho,ChiTiet!I$2,FALSE),"")</f>
        <v>96</v>
      </c>
      <c r="I33" s="45">
        <f t="shared" si="2"/>
        <v>278</v>
      </c>
      <c r="J33" s="36">
        <f t="shared" si="3"/>
        <v>1570</v>
      </c>
      <c r="K33" s="36">
        <f t="shared" si="0"/>
        <v>1630</v>
      </c>
      <c r="L33" s="37">
        <f>IFERROR((_xlfn.IFNA(VLOOKUP($C33,Dulieutho,ChiTiet!K$2,FALSE),"")+_xlfn.IFNA(VLOOKUP($C33,Dulieutho,ChiTiet!AK$2,FALSE),""))/80,0)</f>
        <v>3</v>
      </c>
      <c r="M33" s="36">
        <f t="shared" si="4"/>
        <v>362</v>
      </c>
      <c r="N33" s="38">
        <f t="shared" si="5"/>
        <v>240</v>
      </c>
      <c r="O33" s="46">
        <f t="shared" si="6"/>
        <v>3</v>
      </c>
      <c r="P33" s="39">
        <f t="shared" si="7"/>
        <v>240</v>
      </c>
      <c r="Q33" s="40">
        <f t="shared" si="8"/>
        <v>36</v>
      </c>
      <c r="R33" s="36">
        <f t="shared" si="9"/>
        <v>362</v>
      </c>
      <c r="S33" s="36">
        <f t="shared" si="10"/>
        <v>362</v>
      </c>
      <c r="T33" s="36">
        <f t="shared" si="11"/>
        <v>362</v>
      </c>
      <c r="U33" s="36">
        <f t="shared" si="12"/>
        <v>362</v>
      </c>
      <c r="V33" s="40">
        <f t="shared" si="13"/>
        <v>278</v>
      </c>
      <c r="W33" s="40">
        <f t="shared" si="14"/>
        <v>36</v>
      </c>
      <c r="X33" s="40">
        <f t="shared" si="15"/>
        <v>48</v>
      </c>
    </row>
    <row r="34" spans="2:24" ht="15.6">
      <c r="B34" s="10" t="s">
        <v>93</v>
      </c>
      <c r="C34" s="9" t="s">
        <v>158</v>
      </c>
      <c r="D34" s="11" t="s">
        <v>159</v>
      </c>
      <c r="E34" s="35">
        <f>_xlfn.IFNA(VLOOKUP($C34,Dulieutho,ChiTiet!F$2,FALSE),"")</f>
        <v>1956</v>
      </c>
      <c r="F34" s="35">
        <f>_xlfn.IFNA(VLOOKUP($C34,Dulieutho,ChiTiet!G$2,FALSE),"")</f>
        <v>368</v>
      </c>
      <c r="G34" s="35">
        <f>_xlfn.IFNA(VLOOKUP($C34,Dulieutho,ChiTiet!H$2,FALSE),"")</f>
        <v>350</v>
      </c>
      <c r="H34" s="35">
        <f>_xlfn.IFNA(VLOOKUP($C34,Dulieutho,ChiTiet!I$2,FALSE),"")</f>
        <v>624</v>
      </c>
      <c r="I34" s="45">
        <f t="shared" si="2"/>
        <v>2306</v>
      </c>
      <c r="J34" s="36">
        <f t="shared" si="3"/>
        <v>13370</v>
      </c>
      <c r="K34" s="36">
        <f t="shared" si="0"/>
        <v>13090</v>
      </c>
      <c r="L34" s="37">
        <f>IFERROR((_xlfn.IFNA(VLOOKUP($C34,Dulieutho,ChiTiet!K$2,FALSE),"")+_xlfn.IFNA(VLOOKUP($C34,Dulieutho,ChiTiet!AK$2,FALSE),""))/80,0)</f>
        <v>22.875</v>
      </c>
      <c r="M34" s="36">
        <f t="shared" si="4"/>
        <v>2986</v>
      </c>
      <c r="N34" s="38">
        <f t="shared" si="5"/>
        <v>1560</v>
      </c>
      <c r="O34" s="46">
        <f t="shared" si="6"/>
        <v>19.5</v>
      </c>
      <c r="P34" s="39">
        <f t="shared" si="7"/>
        <v>1560</v>
      </c>
      <c r="Q34" s="40">
        <f t="shared" si="8"/>
        <v>368</v>
      </c>
      <c r="R34" s="36">
        <f t="shared" si="9"/>
        <v>2986</v>
      </c>
      <c r="S34" s="36">
        <f t="shared" si="10"/>
        <v>2986</v>
      </c>
      <c r="T34" s="36">
        <f t="shared" si="11"/>
        <v>2986</v>
      </c>
      <c r="U34" s="36">
        <f t="shared" si="12"/>
        <v>2986</v>
      </c>
      <c r="V34" s="40">
        <f t="shared" si="13"/>
        <v>2306</v>
      </c>
      <c r="W34" s="40">
        <f t="shared" si="14"/>
        <v>368</v>
      </c>
      <c r="X34" s="40">
        <f t="shared" si="15"/>
        <v>312</v>
      </c>
    </row>
    <row r="35" spans="2:24" ht="15.6">
      <c r="B35" s="10" t="s">
        <v>93</v>
      </c>
      <c r="C35" s="9" t="s">
        <v>160</v>
      </c>
      <c r="D35" s="11" t="s">
        <v>161</v>
      </c>
      <c r="E35" s="35">
        <f>_xlfn.IFNA(VLOOKUP($C35,Dulieutho,ChiTiet!F$2,FALSE),"")</f>
        <v>2152</v>
      </c>
      <c r="F35" s="35">
        <f>_xlfn.IFNA(VLOOKUP($C35,Dulieutho,ChiTiet!G$2,FALSE),"")</f>
        <v>380</v>
      </c>
      <c r="G35" s="35">
        <f>_xlfn.IFNA(VLOOKUP($C35,Dulieutho,ChiTiet!H$2,FALSE),"")</f>
        <v>130</v>
      </c>
      <c r="H35" s="35">
        <f>_xlfn.IFNA(VLOOKUP($C35,Dulieutho,ChiTiet!I$2,FALSE),"")</f>
        <v>192</v>
      </c>
      <c r="I35" s="45">
        <f t="shared" si="2"/>
        <v>2282</v>
      </c>
      <c r="J35" s="36">
        <f t="shared" si="3"/>
        <v>13310</v>
      </c>
      <c r="K35" s="36">
        <f t="shared" ref="K35:K66" si="16">IFERROR(((E35+G35)*5)+(H35/2*5),0)</f>
        <v>11890</v>
      </c>
      <c r="L35" s="37">
        <f>IFERROR((_xlfn.IFNA(VLOOKUP($C35,Dulieutho,ChiTiet!K$2,FALSE),"")+_xlfn.IFNA(VLOOKUP($C35,Dulieutho,ChiTiet!AK$2,FALSE),""))/80,0)</f>
        <v>23.25</v>
      </c>
      <c r="M35" s="36">
        <f t="shared" si="4"/>
        <v>2758</v>
      </c>
      <c r="N35" s="38">
        <f t="shared" si="5"/>
        <v>480</v>
      </c>
      <c r="O35" s="46">
        <f t="shared" si="6"/>
        <v>6</v>
      </c>
      <c r="P35" s="39">
        <f t="shared" si="7"/>
        <v>480</v>
      </c>
      <c r="Q35" s="40">
        <f t="shared" si="8"/>
        <v>380</v>
      </c>
      <c r="R35" s="36">
        <f t="shared" si="9"/>
        <v>2758</v>
      </c>
      <c r="S35" s="36">
        <f t="shared" si="10"/>
        <v>2758</v>
      </c>
      <c r="T35" s="36">
        <f t="shared" si="11"/>
        <v>2758</v>
      </c>
      <c r="U35" s="36">
        <f t="shared" si="12"/>
        <v>2758</v>
      </c>
      <c r="V35" s="40">
        <f t="shared" si="13"/>
        <v>2282</v>
      </c>
      <c r="W35" s="40">
        <f t="shared" si="14"/>
        <v>380</v>
      </c>
      <c r="X35" s="40">
        <f t="shared" si="15"/>
        <v>96</v>
      </c>
    </row>
    <row r="36" spans="2:24" ht="15.6">
      <c r="B36" s="10" t="s">
        <v>93</v>
      </c>
      <c r="C36" s="9" t="s">
        <v>162</v>
      </c>
      <c r="D36" s="11" t="s">
        <v>163</v>
      </c>
      <c r="E36" s="35">
        <f>_xlfn.IFNA(VLOOKUP($C36,Dulieutho,ChiTiet!F$2,FALSE),"")</f>
        <v>464</v>
      </c>
      <c r="F36" s="35">
        <f>_xlfn.IFNA(VLOOKUP($C36,Dulieutho,ChiTiet!G$2,FALSE),"")</f>
        <v>60</v>
      </c>
      <c r="G36" s="35">
        <f>_xlfn.IFNA(VLOOKUP($C36,Dulieutho,ChiTiet!H$2,FALSE),"")</f>
        <v>140</v>
      </c>
      <c r="H36" s="35">
        <f>_xlfn.IFNA(VLOOKUP($C36,Dulieutho,ChiTiet!I$2,FALSE),"")</f>
        <v>144</v>
      </c>
      <c r="I36" s="45">
        <f t="shared" si="2"/>
        <v>604</v>
      </c>
      <c r="J36" s="36">
        <f t="shared" si="3"/>
        <v>3320</v>
      </c>
      <c r="K36" s="36">
        <f t="shared" si="16"/>
        <v>3380</v>
      </c>
      <c r="L36" s="37">
        <f>IFERROR((_xlfn.IFNA(VLOOKUP($C36,Dulieutho,ChiTiet!K$2,FALSE),"")+_xlfn.IFNA(VLOOKUP($C36,Dulieutho,ChiTiet!AK$2,FALSE),""))/80,0)</f>
        <v>4.5</v>
      </c>
      <c r="M36" s="36">
        <f t="shared" si="4"/>
        <v>736</v>
      </c>
      <c r="N36" s="38">
        <f t="shared" si="5"/>
        <v>360</v>
      </c>
      <c r="O36" s="46">
        <f t="shared" si="6"/>
        <v>4.5</v>
      </c>
      <c r="P36" s="39">
        <f t="shared" si="7"/>
        <v>360</v>
      </c>
      <c r="Q36" s="40">
        <f t="shared" si="8"/>
        <v>60</v>
      </c>
      <c r="R36" s="36">
        <f t="shared" si="9"/>
        <v>736</v>
      </c>
      <c r="S36" s="36">
        <f t="shared" si="10"/>
        <v>736</v>
      </c>
      <c r="T36" s="36">
        <f t="shared" si="11"/>
        <v>736</v>
      </c>
      <c r="U36" s="36">
        <f t="shared" si="12"/>
        <v>736</v>
      </c>
      <c r="V36" s="40">
        <f t="shared" si="13"/>
        <v>604</v>
      </c>
      <c r="W36" s="40">
        <f t="shared" si="14"/>
        <v>60</v>
      </c>
      <c r="X36" s="40">
        <f t="shared" si="15"/>
        <v>72</v>
      </c>
    </row>
    <row r="37" spans="2:24" ht="15.6">
      <c r="B37" s="10" t="s">
        <v>93</v>
      </c>
      <c r="C37" s="9" t="s">
        <v>164</v>
      </c>
      <c r="D37" s="11" t="s">
        <v>165</v>
      </c>
      <c r="E37" s="35">
        <f>_xlfn.IFNA(VLOOKUP($C37,Dulieutho,ChiTiet!F$2,FALSE),"")</f>
        <v>1436</v>
      </c>
      <c r="F37" s="35">
        <f>_xlfn.IFNA(VLOOKUP($C37,Dulieutho,ChiTiet!G$2,FALSE),"")</f>
        <v>176</v>
      </c>
      <c r="G37" s="35">
        <f>_xlfn.IFNA(VLOOKUP($C37,Dulieutho,ChiTiet!H$2,FALSE),"")</f>
        <v>410</v>
      </c>
      <c r="H37" s="35">
        <f>_xlfn.IFNA(VLOOKUP($C37,Dulieutho,ChiTiet!I$2,FALSE),"")</f>
        <v>360</v>
      </c>
      <c r="I37" s="45">
        <f t="shared" si="2"/>
        <v>1846</v>
      </c>
      <c r="J37" s="36">
        <f t="shared" si="3"/>
        <v>10110</v>
      </c>
      <c r="K37" s="36">
        <f t="shared" si="16"/>
        <v>10130</v>
      </c>
      <c r="L37" s="37">
        <f>IFERROR((_xlfn.IFNA(VLOOKUP($C37,Dulieutho,ChiTiet!K$2,FALSE),"")+_xlfn.IFNA(VLOOKUP($C37,Dulieutho,ChiTiet!AK$2,FALSE),""))/80,0)</f>
        <v>16.875</v>
      </c>
      <c r="M37" s="36">
        <f t="shared" si="4"/>
        <v>2202</v>
      </c>
      <c r="N37" s="38">
        <f t="shared" si="5"/>
        <v>900</v>
      </c>
      <c r="O37" s="46">
        <f t="shared" si="6"/>
        <v>11.25</v>
      </c>
      <c r="P37" s="39">
        <f t="shared" si="7"/>
        <v>900</v>
      </c>
      <c r="Q37" s="40">
        <f t="shared" si="8"/>
        <v>176</v>
      </c>
      <c r="R37" s="36">
        <f t="shared" si="9"/>
        <v>2202</v>
      </c>
      <c r="S37" s="36">
        <f t="shared" si="10"/>
        <v>2202</v>
      </c>
      <c r="T37" s="36">
        <f t="shared" si="11"/>
        <v>2202</v>
      </c>
      <c r="U37" s="36">
        <f t="shared" si="12"/>
        <v>2202</v>
      </c>
      <c r="V37" s="40">
        <f t="shared" si="13"/>
        <v>1846</v>
      </c>
      <c r="W37" s="40">
        <f t="shared" si="14"/>
        <v>176</v>
      </c>
      <c r="X37" s="40">
        <f t="shared" si="15"/>
        <v>180</v>
      </c>
    </row>
    <row r="38" spans="2:24" ht="15.6">
      <c r="B38" s="10" t="s">
        <v>93</v>
      </c>
      <c r="C38" s="9" t="s">
        <v>166</v>
      </c>
      <c r="D38" s="11" t="s">
        <v>167</v>
      </c>
      <c r="E38" s="35">
        <f>_xlfn.IFNA(VLOOKUP($C38,Dulieutho,ChiTiet!F$2,FALSE),"")</f>
        <v>1764</v>
      </c>
      <c r="F38" s="35">
        <f>_xlfn.IFNA(VLOOKUP($C38,Dulieutho,ChiTiet!G$2,FALSE),"")</f>
        <v>352</v>
      </c>
      <c r="G38" s="35">
        <f>_xlfn.IFNA(VLOOKUP($C38,Dulieutho,ChiTiet!H$2,FALSE),"")</f>
        <v>330</v>
      </c>
      <c r="H38" s="35">
        <f>_xlfn.IFNA(VLOOKUP($C38,Dulieutho,ChiTiet!I$2,FALSE),"")</f>
        <v>288</v>
      </c>
      <c r="I38" s="45">
        <f t="shared" si="2"/>
        <v>2094</v>
      </c>
      <c r="J38" s="36">
        <f t="shared" si="3"/>
        <v>12230</v>
      </c>
      <c r="K38" s="36">
        <f t="shared" si="16"/>
        <v>11190</v>
      </c>
      <c r="L38" s="37">
        <f>IFERROR((_xlfn.IFNA(VLOOKUP($C38,Dulieutho,ChiTiet!K$2,FALSE),"")+_xlfn.IFNA(VLOOKUP($C38,Dulieutho,ChiTiet!AK$2,FALSE),""))/80,0)</f>
        <v>20.25</v>
      </c>
      <c r="M38" s="36">
        <f t="shared" si="4"/>
        <v>2590</v>
      </c>
      <c r="N38" s="38">
        <f t="shared" si="5"/>
        <v>720</v>
      </c>
      <c r="O38" s="46">
        <f t="shared" si="6"/>
        <v>9</v>
      </c>
      <c r="P38" s="39">
        <f t="shared" si="7"/>
        <v>720</v>
      </c>
      <c r="Q38" s="40">
        <f t="shared" si="8"/>
        <v>352</v>
      </c>
      <c r="R38" s="36">
        <f t="shared" si="9"/>
        <v>2590</v>
      </c>
      <c r="S38" s="36">
        <f t="shared" si="10"/>
        <v>2590</v>
      </c>
      <c r="T38" s="36">
        <f t="shared" si="11"/>
        <v>2590</v>
      </c>
      <c r="U38" s="36">
        <f t="shared" si="12"/>
        <v>2590</v>
      </c>
      <c r="V38" s="40">
        <f t="shared" si="13"/>
        <v>2094</v>
      </c>
      <c r="W38" s="40">
        <f t="shared" si="14"/>
        <v>352</v>
      </c>
      <c r="X38" s="40">
        <f t="shared" si="15"/>
        <v>144</v>
      </c>
    </row>
    <row r="39" spans="2:24" ht="15.6">
      <c r="B39" s="10" t="s">
        <v>93</v>
      </c>
      <c r="C39" s="9" t="s">
        <v>168</v>
      </c>
      <c r="D39" s="11" t="s">
        <v>169</v>
      </c>
      <c r="E39" s="35">
        <f>_xlfn.IFNA(VLOOKUP($C39,Dulieutho,ChiTiet!F$2,FALSE),"")</f>
        <v>644</v>
      </c>
      <c r="F39" s="35">
        <f>_xlfn.IFNA(VLOOKUP($C39,Dulieutho,ChiTiet!G$2,FALSE),"")</f>
        <v>72</v>
      </c>
      <c r="G39" s="35">
        <f>_xlfn.IFNA(VLOOKUP($C39,Dulieutho,ChiTiet!H$2,FALSE),"")</f>
        <v>310</v>
      </c>
      <c r="H39" s="35">
        <f>_xlfn.IFNA(VLOOKUP($C39,Dulieutho,ChiTiet!I$2,FALSE),"")</f>
        <v>144</v>
      </c>
      <c r="I39" s="45">
        <f t="shared" si="2"/>
        <v>954</v>
      </c>
      <c r="J39" s="36">
        <f t="shared" si="3"/>
        <v>5130</v>
      </c>
      <c r="K39" s="36">
        <f t="shared" si="16"/>
        <v>5130</v>
      </c>
      <c r="L39" s="37">
        <f>IFERROR((_xlfn.IFNA(VLOOKUP($C39,Dulieutho,ChiTiet!K$2,FALSE),"")+_xlfn.IFNA(VLOOKUP($C39,Dulieutho,ChiTiet!AK$2,FALSE),""))/80,0)</f>
        <v>8.25</v>
      </c>
      <c r="M39" s="36">
        <f t="shared" si="4"/>
        <v>1098</v>
      </c>
      <c r="N39" s="38">
        <f t="shared" si="5"/>
        <v>360</v>
      </c>
      <c r="O39" s="46">
        <f t="shared" si="6"/>
        <v>4.5</v>
      </c>
      <c r="P39" s="39">
        <f t="shared" si="7"/>
        <v>360</v>
      </c>
      <c r="Q39" s="40">
        <f t="shared" si="8"/>
        <v>72</v>
      </c>
      <c r="R39" s="36">
        <f t="shared" si="9"/>
        <v>1098</v>
      </c>
      <c r="S39" s="36">
        <f t="shared" si="10"/>
        <v>1098</v>
      </c>
      <c r="T39" s="36">
        <f t="shared" si="11"/>
        <v>1098</v>
      </c>
      <c r="U39" s="36">
        <f t="shared" si="12"/>
        <v>1098</v>
      </c>
      <c r="V39" s="40">
        <f t="shared" si="13"/>
        <v>954</v>
      </c>
      <c r="W39" s="40">
        <f t="shared" si="14"/>
        <v>72</v>
      </c>
      <c r="X39" s="40">
        <f t="shared" si="15"/>
        <v>72</v>
      </c>
    </row>
    <row r="40" spans="2:24" ht="15.6">
      <c r="B40" s="10" t="s">
        <v>93</v>
      </c>
      <c r="C40" s="9" t="s">
        <v>170</v>
      </c>
      <c r="D40" s="11" t="s">
        <v>171</v>
      </c>
      <c r="E40" s="35">
        <f>_xlfn.IFNA(VLOOKUP($C40,Dulieutho,ChiTiet!F$2,FALSE),"")</f>
        <v>704</v>
      </c>
      <c r="F40" s="35">
        <f>_xlfn.IFNA(VLOOKUP($C40,Dulieutho,ChiTiet!G$2,FALSE),"")</f>
        <v>72</v>
      </c>
      <c r="G40" s="35">
        <f>_xlfn.IFNA(VLOOKUP($C40,Dulieutho,ChiTiet!H$2,FALSE),"")</f>
        <v>140</v>
      </c>
      <c r="H40" s="35">
        <f>_xlfn.IFNA(VLOOKUP($C40,Dulieutho,ChiTiet!I$2,FALSE),"")</f>
        <v>144</v>
      </c>
      <c r="I40" s="45">
        <f t="shared" si="2"/>
        <v>844</v>
      </c>
      <c r="J40" s="36">
        <f t="shared" si="3"/>
        <v>4580</v>
      </c>
      <c r="K40" s="36">
        <f t="shared" si="16"/>
        <v>4580</v>
      </c>
      <c r="L40" s="37">
        <f>IFERROR((_xlfn.IFNA(VLOOKUP($C40,Dulieutho,ChiTiet!K$2,FALSE),"")+_xlfn.IFNA(VLOOKUP($C40,Dulieutho,ChiTiet!AK$2,FALSE),""))/80,0)</f>
        <v>9.75</v>
      </c>
      <c r="M40" s="36">
        <f t="shared" si="4"/>
        <v>988</v>
      </c>
      <c r="N40" s="38">
        <f t="shared" si="5"/>
        <v>360</v>
      </c>
      <c r="O40" s="46">
        <f t="shared" si="6"/>
        <v>4.5</v>
      </c>
      <c r="P40" s="39">
        <f t="shared" si="7"/>
        <v>360</v>
      </c>
      <c r="Q40" s="40">
        <f t="shared" si="8"/>
        <v>72</v>
      </c>
      <c r="R40" s="36">
        <f t="shared" si="9"/>
        <v>988</v>
      </c>
      <c r="S40" s="36">
        <f t="shared" si="10"/>
        <v>988</v>
      </c>
      <c r="T40" s="36">
        <f t="shared" si="11"/>
        <v>988</v>
      </c>
      <c r="U40" s="36">
        <f t="shared" si="12"/>
        <v>988</v>
      </c>
      <c r="V40" s="40">
        <f t="shared" si="13"/>
        <v>844</v>
      </c>
      <c r="W40" s="40">
        <f t="shared" si="14"/>
        <v>72</v>
      </c>
      <c r="X40" s="40">
        <f t="shared" si="15"/>
        <v>72</v>
      </c>
    </row>
    <row r="41" spans="2:24" ht="15.6">
      <c r="B41" s="10" t="s">
        <v>93</v>
      </c>
      <c r="C41" s="9" t="s">
        <v>172</v>
      </c>
      <c r="D41" s="11" t="s">
        <v>173</v>
      </c>
      <c r="E41" s="35">
        <f>_xlfn.IFNA(VLOOKUP($C41,Dulieutho,ChiTiet!F$2,FALSE),"")</f>
        <v>808</v>
      </c>
      <c r="F41" s="35">
        <f>_xlfn.IFNA(VLOOKUP($C41,Dulieutho,ChiTiet!G$2,FALSE),"")</f>
        <v>128</v>
      </c>
      <c r="G41" s="35">
        <f>_xlfn.IFNA(VLOOKUP($C41,Dulieutho,ChiTiet!H$2,FALSE),"")</f>
        <v>230</v>
      </c>
      <c r="H41" s="35">
        <f>_xlfn.IFNA(VLOOKUP($C41,Dulieutho,ChiTiet!I$2,FALSE),"")</f>
        <v>120</v>
      </c>
      <c r="I41" s="45">
        <f t="shared" si="2"/>
        <v>1038</v>
      </c>
      <c r="J41" s="36">
        <f t="shared" si="3"/>
        <v>5830</v>
      </c>
      <c r="K41" s="36">
        <f t="shared" si="16"/>
        <v>5490</v>
      </c>
      <c r="L41" s="37">
        <f>IFERROR((_xlfn.IFNA(VLOOKUP($C41,Dulieutho,ChiTiet!K$2,FALSE),"")+_xlfn.IFNA(VLOOKUP($C41,Dulieutho,ChiTiet!AK$2,FALSE),""))/80,0)</f>
        <v>6.75</v>
      </c>
      <c r="M41" s="36">
        <f t="shared" si="4"/>
        <v>1226</v>
      </c>
      <c r="N41" s="38">
        <f t="shared" si="5"/>
        <v>300</v>
      </c>
      <c r="O41" s="46">
        <f t="shared" si="6"/>
        <v>3.75</v>
      </c>
      <c r="P41" s="39">
        <f t="shared" si="7"/>
        <v>300</v>
      </c>
      <c r="Q41" s="40">
        <f t="shared" si="8"/>
        <v>128</v>
      </c>
      <c r="R41" s="36">
        <f t="shared" si="9"/>
        <v>1226</v>
      </c>
      <c r="S41" s="36">
        <f t="shared" si="10"/>
        <v>1226</v>
      </c>
      <c r="T41" s="36">
        <f t="shared" si="11"/>
        <v>1226</v>
      </c>
      <c r="U41" s="36">
        <f t="shared" si="12"/>
        <v>1226</v>
      </c>
      <c r="V41" s="40">
        <f t="shared" si="13"/>
        <v>1038</v>
      </c>
      <c r="W41" s="40">
        <f t="shared" si="14"/>
        <v>128</v>
      </c>
      <c r="X41" s="40">
        <f t="shared" si="15"/>
        <v>60</v>
      </c>
    </row>
    <row r="42" spans="2:24" ht="15.6">
      <c r="B42" s="10" t="s">
        <v>93</v>
      </c>
      <c r="C42" s="9" t="s">
        <v>174</v>
      </c>
      <c r="D42" s="11" t="s">
        <v>175</v>
      </c>
      <c r="E42" s="35">
        <f>_xlfn.IFNA(VLOOKUP($C42,Dulieutho,ChiTiet!F$2,FALSE),"")</f>
        <v>2060</v>
      </c>
      <c r="F42" s="35">
        <f>_xlfn.IFNA(VLOOKUP($C42,Dulieutho,ChiTiet!G$2,FALSE),"")</f>
        <v>348</v>
      </c>
      <c r="G42" s="35">
        <f>_xlfn.IFNA(VLOOKUP($C42,Dulieutho,ChiTiet!H$2,FALSE),"")</f>
        <v>340</v>
      </c>
      <c r="H42" s="35">
        <f>_xlfn.IFNA(VLOOKUP($C42,Dulieutho,ChiTiet!I$2,FALSE),"")</f>
        <v>696</v>
      </c>
      <c r="I42" s="45">
        <f t="shared" si="2"/>
        <v>2400</v>
      </c>
      <c r="J42" s="36">
        <f t="shared" si="3"/>
        <v>13740</v>
      </c>
      <c r="K42" s="36">
        <f t="shared" si="16"/>
        <v>13740</v>
      </c>
      <c r="L42" s="37">
        <f>IFERROR((_xlfn.IFNA(VLOOKUP($C42,Dulieutho,ChiTiet!K$2,FALSE),"")+_xlfn.IFNA(VLOOKUP($C42,Dulieutho,ChiTiet!AK$2,FALSE),""))/80,0)</f>
        <v>20.25</v>
      </c>
      <c r="M42" s="36">
        <f t="shared" si="4"/>
        <v>3096</v>
      </c>
      <c r="N42" s="38">
        <f t="shared" si="5"/>
        <v>1740</v>
      </c>
      <c r="O42" s="46">
        <f t="shared" si="6"/>
        <v>21.75</v>
      </c>
      <c r="P42" s="39">
        <f t="shared" si="7"/>
        <v>1740</v>
      </c>
      <c r="Q42" s="40">
        <f t="shared" si="8"/>
        <v>348</v>
      </c>
      <c r="R42" s="36">
        <f t="shared" si="9"/>
        <v>3096</v>
      </c>
      <c r="S42" s="36">
        <f t="shared" si="10"/>
        <v>3096</v>
      </c>
      <c r="T42" s="36">
        <f t="shared" si="11"/>
        <v>3096</v>
      </c>
      <c r="U42" s="36">
        <f t="shared" si="12"/>
        <v>3096</v>
      </c>
      <c r="V42" s="40">
        <f t="shared" si="13"/>
        <v>2400</v>
      </c>
      <c r="W42" s="40">
        <f t="shared" si="14"/>
        <v>348</v>
      </c>
      <c r="X42" s="40">
        <f t="shared" si="15"/>
        <v>348</v>
      </c>
    </row>
    <row r="43" spans="2:24" ht="15.6">
      <c r="B43" s="10" t="s">
        <v>93</v>
      </c>
      <c r="C43" s="9" t="s">
        <v>176</v>
      </c>
      <c r="D43" s="11" t="s">
        <v>177</v>
      </c>
      <c r="E43" s="35">
        <f>_xlfn.IFNA(VLOOKUP($C43,Dulieutho,ChiTiet!F$2,FALSE),"")</f>
        <v>720</v>
      </c>
      <c r="F43" s="35">
        <f>_xlfn.IFNA(VLOOKUP($C43,Dulieutho,ChiTiet!G$2,FALSE),"")</f>
        <v>80</v>
      </c>
      <c r="G43" s="35">
        <f>_xlfn.IFNA(VLOOKUP($C43,Dulieutho,ChiTiet!H$2,FALSE),"")</f>
        <v>60</v>
      </c>
      <c r="H43" s="35">
        <f>_xlfn.IFNA(VLOOKUP($C43,Dulieutho,ChiTiet!I$2,FALSE),"")</f>
        <v>168</v>
      </c>
      <c r="I43" s="45">
        <f t="shared" si="2"/>
        <v>780</v>
      </c>
      <c r="J43" s="36">
        <f t="shared" si="3"/>
        <v>4300</v>
      </c>
      <c r="K43" s="36">
        <f t="shared" si="16"/>
        <v>4320</v>
      </c>
      <c r="L43" s="37">
        <f>IFERROR((_xlfn.IFNA(VLOOKUP($C43,Dulieutho,ChiTiet!K$2,FALSE),"")+_xlfn.IFNA(VLOOKUP($C43,Dulieutho,ChiTiet!AK$2,FALSE),""))/80,0)</f>
        <v>9</v>
      </c>
      <c r="M43" s="36">
        <f t="shared" si="4"/>
        <v>944</v>
      </c>
      <c r="N43" s="38">
        <f t="shared" si="5"/>
        <v>420</v>
      </c>
      <c r="O43" s="46">
        <f t="shared" si="6"/>
        <v>5.25</v>
      </c>
      <c r="P43" s="39">
        <f t="shared" si="7"/>
        <v>420</v>
      </c>
      <c r="Q43" s="40">
        <f t="shared" si="8"/>
        <v>80</v>
      </c>
      <c r="R43" s="36">
        <f t="shared" si="9"/>
        <v>944</v>
      </c>
      <c r="S43" s="36">
        <f t="shared" si="10"/>
        <v>944</v>
      </c>
      <c r="T43" s="36">
        <f t="shared" si="11"/>
        <v>944</v>
      </c>
      <c r="U43" s="36">
        <f t="shared" si="12"/>
        <v>944</v>
      </c>
      <c r="V43" s="40">
        <f t="shared" si="13"/>
        <v>780</v>
      </c>
      <c r="W43" s="40">
        <f t="shared" si="14"/>
        <v>80</v>
      </c>
      <c r="X43" s="40">
        <f t="shared" si="15"/>
        <v>84</v>
      </c>
    </row>
    <row r="44" spans="2:24" ht="15.6">
      <c r="B44" s="10" t="s">
        <v>93</v>
      </c>
      <c r="C44" s="9" t="s">
        <v>178</v>
      </c>
      <c r="D44" s="11" t="s">
        <v>179</v>
      </c>
      <c r="E44" s="35">
        <f>_xlfn.IFNA(VLOOKUP($C44,Dulieutho,ChiTiet!F$2,FALSE),"")</f>
        <v>892</v>
      </c>
      <c r="F44" s="35">
        <f>_xlfn.IFNA(VLOOKUP($C44,Dulieutho,ChiTiet!G$2,FALSE),"")</f>
        <v>76</v>
      </c>
      <c r="G44" s="35">
        <f>_xlfn.IFNA(VLOOKUP($C44,Dulieutho,ChiTiet!H$2,FALSE),"")</f>
        <v>210</v>
      </c>
      <c r="H44" s="35">
        <f>_xlfn.IFNA(VLOOKUP($C44,Dulieutho,ChiTiet!I$2,FALSE),"")</f>
        <v>96</v>
      </c>
      <c r="I44" s="45">
        <f t="shared" si="2"/>
        <v>1102</v>
      </c>
      <c r="J44" s="36">
        <f t="shared" si="3"/>
        <v>5890</v>
      </c>
      <c r="K44" s="36">
        <f t="shared" si="16"/>
        <v>5750</v>
      </c>
      <c r="L44" s="37">
        <f>IFERROR((_xlfn.IFNA(VLOOKUP($C44,Dulieutho,ChiTiet!K$2,FALSE),"")+_xlfn.IFNA(VLOOKUP($C44,Dulieutho,ChiTiet!AK$2,FALSE),""))/80,0)</f>
        <v>8.625</v>
      </c>
      <c r="M44" s="36">
        <f t="shared" si="4"/>
        <v>1226</v>
      </c>
      <c r="N44" s="38">
        <f t="shared" si="5"/>
        <v>240</v>
      </c>
      <c r="O44" s="46">
        <f t="shared" si="6"/>
        <v>3</v>
      </c>
      <c r="P44" s="39">
        <f t="shared" si="7"/>
        <v>240</v>
      </c>
      <c r="Q44" s="40">
        <f t="shared" si="8"/>
        <v>76</v>
      </c>
      <c r="R44" s="36">
        <f t="shared" si="9"/>
        <v>1226</v>
      </c>
      <c r="S44" s="36">
        <f t="shared" si="10"/>
        <v>1226</v>
      </c>
      <c r="T44" s="36">
        <f t="shared" si="11"/>
        <v>1226</v>
      </c>
      <c r="U44" s="36">
        <f t="shared" si="12"/>
        <v>1226</v>
      </c>
      <c r="V44" s="40">
        <f t="shared" si="13"/>
        <v>1102</v>
      </c>
      <c r="W44" s="40">
        <f t="shared" si="14"/>
        <v>76</v>
      </c>
      <c r="X44" s="40">
        <f t="shared" si="15"/>
        <v>48</v>
      </c>
    </row>
    <row r="45" spans="2:24" ht="15.6">
      <c r="B45" s="10" t="s">
        <v>93</v>
      </c>
      <c r="C45" s="9" t="s">
        <v>180</v>
      </c>
      <c r="D45" s="11" t="s">
        <v>181</v>
      </c>
      <c r="E45" s="35">
        <f>_xlfn.IFNA(VLOOKUP($C45,Dulieutho,ChiTiet!F$2,FALSE),"")</f>
        <v>676</v>
      </c>
      <c r="F45" s="35">
        <f>_xlfn.IFNA(VLOOKUP($C45,Dulieutho,ChiTiet!G$2,FALSE),"")</f>
        <v>80</v>
      </c>
      <c r="G45" s="35">
        <f>_xlfn.IFNA(VLOOKUP($C45,Dulieutho,ChiTiet!H$2,FALSE),"")</f>
        <v>210</v>
      </c>
      <c r="H45" s="35">
        <f>_xlfn.IFNA(VLOOKUP($C45,Dulieutho,ChiTiet!I$2,FALSE),"")</f>
        <v>216</v>
      </c>
      <c r="I45" s="45">
        <f t="shared" si="2"/>
        <v>886</v>
      </c>
      <c r="J45" s="36">
        <f t="shared" si="3"/>
        <v>4830</v>
      </c>
      <c r="K45" s="36">
        <f t="shared" si="16"/>
        <v>4970</v>
      </c>
      <c r="L45" s="37">
        <f>IFERROR((_xlfn.IFNA(VLOOKUP($C45,Dulieutho,ChiTiet!K$2,FALSE),"")+_xlfn.IFNA(VLOOKUP($C45,Dulieutho,ChiTiet!AK$2,FALSE),""))/80,0)</f>
        <v>7.875</v>
      </c>
      <c r="M45" s="36">
        <f t="shared" si="4"/>
        <v>1074</v>
      </c>
      <c r="N45" s="38">
        <f t="shared" si="5"/>
        <v>540</v>
      </c>
      <c r="O45" s="46">
        <f t="shared" si="6"/>
        <v>6.75</v>
      </c>
      <c r="P45" s="39">
        <f t="shared" si="7"/>
        <v>540</v>
      </c>
      <c r="Q45" s="40">
        <f t="shared" si="8"/>
        <v>80</v>
      </c>
      <c r="R45" s="36">
        <f t="shared" si="9"/>
        <v>1074</v>
      </c>
      <c r="S45" s="36">
        <f t="shared" si="10"/>
        <v>1074</v>
      </c>
      <c r="T45" s="36">
        <f t="shared" si="11"/>
        <v>1074</v>
      </c>
      <c r="U45" s="36">
        <f t="shared" si="12"/>
        <v>1074</v>
      </c>
      <c r="V45" s="40">
        <f t="shared" si="13"/>
        <v>886</v>
      </c>
      <c r="W45" s="40">
        <f t="shared" si="14"/>
        <v>80</v>
      </c>
      <c r="X45" s="40">
        <f t="shared" si="15"/>
        <v>108</v>
      </c>
    </row>
    <row r="46" spans="2:24" ht="15.6">
      <c r="B46" s="10" t="s">
        <v>93</v>
      </c>
      <c r="C46" s="9" t="s">
        <v>182</v>
      </c>
      <c r="D46" s="11" t="s">
        <v>183</v>
      </c>
      <c r="E46" s="35">
        <f>_xlfn.IFNA(VLOOKUP($C46,Dulieutho,ChiTiet!F$2,FALSE),"")</f>
        <v>364</v>
      </c>
      <c r="F46" s="35">
        <f>_xlfn.IFNA(VLOOKUP($C46,Dulieutho,ChiTiet!G$2,FALSE),"")</f>
        <v>52</v>
      </c>
      <c r="G46" s="35">
        <f>_xlfn.IFNA(VLOOKUP($C46,Dulieutho,ChiTiet!H$2,FALSE),"")</f>
        <v>150</v>
      </c>
      <c r="H46" s="35">
        <f>_xlfn.IFNA(VLOOKUP($C46,Dulieutho,ChiTiet!I$2,FALSE),"")</f>
        <v>72</v>
      </c>
      <c r="I46" s="45">
        <f t="shared" si="2"/>
        <v>514</v>
      </c>
      <c r="J46" s="36">
        <f t="shared" si="3"/>
        <v>2830</v>
      </c>
      <c r="K46" s="36">
        <f t="shared" si="16"/>
        <v>2750</v>
      </c>
      <c r="L46" s="37">
        <f>IFERROR((_xlfn.IFNA(VLOOKUP($C46,Dulieutho,ChiTiet!K$2,FALSE),"")+_xlfn.IFNA(VLOOKUP($C46,Dulieutho,ChiTiet!AK$2,FALSE),""))/80,0)</f>
        <v>3.375</v>
      </c>
      <c r="M46" s="36">
        <f t="shared" si="4"/>
        <v>602</v>
      </c>
      <c r="N46" s="38">
        <f t="shared" si="5"/>
        <v>180</v>
      </c>
      <c r="O46" s="46">
        <f t="shared" si="6"/>
        <v>2.25</v>
      </c>
      <c r="P46" s="39">
        <f t="shared" si="7"/>
        <v>180</v>
      </c>
      <c r="Q46" s="40">
        <f t="shared" si="8"/>
        <v>52</v>
      </c>
      <c r="R46" s="36">
        <f t="shared" si="9"/>
        <v>602</v>
      </c>
      <c r="S46" s="36">
        <f t="shared" si="10"/>
        <v>602</v>
      </c>
      <c r="T46" s="36">
        <f t="shared" si="11"/>
        <v>602</v>
      </c>
      <c r="U46" s="36">
        <f t="shared" si="12"/>
        <v>602</v>
      </c>
      <c r="V46" s="40">
        <f t="shared" si="13"/>
        <v>514</v>
      </c>
      <c r="W46" s="40">
        <f t="shared" si="14"/>
        <v>52</v>
      </c>
      <c r="X46" s="40">
        <f t="shared" si="15"/>
        <v>36</v>
      </c>
    </row>
    <row r="47" spans="2:24" ht="15.6">
      <c r="B47" s="10" t="s">
        <v>93</v>
      </c>
      <c r="C47" s="9" t="s">
        <v>184</v>
      </c>
      <c r="D47" s="11" t="s">
        <v>185</v>
      </c>
      <c r="E47" s="35">
        <f>_xlfn.IFNA(VLOOKUP($C47,Dulieutho,ChiTiet!F$2,FALSE),"")</f>
        <v>536</v>
      </c>
      <c r="F47" s="35">
        <f>_xlfn.IFNA(VLOOKUP($C47,Dulieutho,ChiTiet!G$2,FALSE),"")</f>
        <v>88</v>
      </c>
      <c r="G47" s="35">
        <f>_xlfn.IFNA(VLOOKUP($C47,Dulieutho,ChiTiet!H$2,FALSE),"")</f>
        <v>170</v>
      </c>
      <c r="H47" s="35">
        <f>_xlfn.IFNA(VLOOKUP($C47,Dulieutho,ChiTiet!I$2,FALSE),"")</f>
        <v>216</v>
      </c>
      <c r="I47" s="45">
        <f t="shared" si="2"/>
        <v>706</v>
      </c>
      <c r="J47" s="36">
        <f t="shared" si="3"/>
        <v>3970</v>
      </c>
      <c r="K47" s="36">
        <f t="shared" si="16"/>
        <v>4070</v>
      </c>
      <c r="L47" s="37">
        <f>IFERROR((_xlfn.IFNA(VLOOKUP($C47,Dulieutho,ChiTiet!K$2,FALSE),"")+_xlfn.IFNA(VLOOKUP($C47,Dulieutho,ChiTiet!AK$2,FALSE),""))/80,0)</f>
        <v>7.5</v>
      </c>
      <c r="M47" s="36">
        <f t="shared" si="4"/>
        <v>902</v>
      </c>
      <c r="N47" s="38">
        <f t="shared" si="5"/>
        <v>540</v>
      </c>
      <c r="O47" s="46">
        <f t="shared" si="6"/>
        <v>6.75</v>
      </c>
      <c r="P47" s="39">
        <f t="shared" si="7"/>
        <v>540</v>
      </c>
      <c r="Q47" s="40">
        <f t="shared" si="8"/>
        <v>88</v>
      </c>
      <c r="R47" s="36">
        <f t="shared" si="9"/>
        <v>902</v>
      </c>
      <c r="S47" s="36">
        <f t="shared" si="10"/>
        <v>902</v>
      </c>
      <c r="T47" s="36">
        <f t="shared" si="11"/>
        <v>902</v>
      </c>
      <c r="U47" s="36">
        <f t="shared" si="12"/>
        <v>902</v>
      </c>
      <c r="V47" s="40">
        <f t="shared" si="13"/>
        <v>706</v>
      </c>
      <c r="W47" s="40">
        <f t="shared" si="14"/>
        <v>88</v>
      </c>
      <c r="X47" s="40">
        <f t="shared" si="15"/>
        <v>108</v>
      </c>
    </row>
    <row r="48" spans="2:24" ht="15.6">
      <c r="B48" s="10" t="s">
        <v>93</v>
      </c>
      <c r="C48" s="9" t="s">
        <v>186</v>
      </c>
      <c r="D48" s="11" t="s">
        <v>187</v>
      </c>
      <c r="E48" s="35" t="str">
        <f>_xlfn.IFNA(VLOOKUP($C48,Dulieutho,ChiTiet!F$2,FALSE),"")</f>
        <v/>
      </c>
      <c r="F48" s="35" t="str">
        <f>_xlfn.IFNA(VLOOKUP($C48,Dulieutho,ChiTiet!G$2,FALSE),"")</f>
        <v/>
      </c>
      <c r="G48" s="35" t="str">
        <f>_xlfn.IFNA(VLOOKUP($C48,Dulieutho,ChiTiet!H$2,FALSE),"")</f>
        <v/>
      </c>
      <c r="H48" s="35" t="str">
        <f>_xlfn.IFNA(VLOOKUP($C48,Dulieutho,ChiTiet!I$2,FALSE),"")</f>
        <v/>
      </c>
      <c r="I48" s="45">
        <f t="shared" si="2"/>
        <v>0</v>
      </c>
      <c r="J48" s="36">
        <f t="shared" si="3"/>
        <v>0</v>
      </c>
      <c r="K48" s="36">
        <f t="shared" si="16"/>
        <v>0</v>
      </c>
      <c r="L48" s="37">
        <f>IFERROR((_xlfn.IFNA(VLOOKUP($C48,Dulieutho,ChiTiet!K$2,FALSE),"")+_xlfn.IFNA(VLOOKUP($C48,Dulieutho,ChiTiet!AK$2,FALSE),""))/80,0)</f>
        <v>0</v>
      </c>
      <c r="M48" s="36">
        <f t="shared" si="4"/>
        <v>0</v>
      </c>
      <c r="N48" s="38">
        <f t="shared" si="5"/>
        <v>0</v>
      </c>
      <c r="O48" s="46">
        <f t="shared" si="6"/>
        <v>0</v>
      </c>
      <c r="P48" s="39">
        <f t="shared" si="7"/>
        <v>0</v>
      </c>
      <c r="Q48" s="40">
        <f t="shared" si="8"/>
        <v>0</v>
      </c>
      <c r="R48" s="36">
        <f t="shared" si="9"/>
        <v>0</v>
      </c>
      <c r="S48" s="36">
        <f t="shared" si="10"/>
        <v>0</v>
      </c>
      <c r="T48" s="36">
        <f t="shared" si="11"/>
        <v>0</v>
      </c>
      <c r="U48" s="36">
        <f t="shared" si="12"/>
        <v>0</v>
      </c>
      <c r="V48" s="40">
        <f t="shared" si="13"/>
        <v>0</v>
      </c>
      <c r="W48" s="40" t="str">
        <f t="shared" si="14"/>
        <v/>
      </c>
      <c r="X48" s="40">
        <f t="shared" si="15"/>
        <v>0</v>
      </c>
    </row>
    <row r="49" spans="2:24" ht="15.6">
      <c r="B49" s="10" t="s">
        <v>93</v>
      </c>
      <c r="C49" s="9" t="s">
        <v>188</v>
      </c>
      <c r="D49" s="11" t="s">
        <v>189</v>
      </c>
      <c r="E49" s="35">
        <f>_xlfn.IFNA(VLOOKUP($C49,Dulieutho,ChiTiet!F$2,FALSE),"")</f>
        <v>3672</v>
      </c>
      <c r="F49" s="35">
        <f>_xlfn.IFNA(VLOOKUP($C49,Dulieutho,ChiTiet!G$2,FALSE),"")</f>
        <v>696</v>
      </c>
      <c r="G49" s="35">
        <f>_xlfn.IFNA(VLOOKUP($C49,Dulieutho,ChiTiet!H$2,FALSE),"")</f>
        <v>210</v>
      </c>
      <c r="H49" s="35">
        <f>_xlfn.IFNA(VLOOKUP($C49,Dulieutho,ChiTiet!I$2,FALSE),"")</f>
        <v>408</v>
      </c>
      <c r="I49" s="45">
        <f t="shared" si="2"/>
        <v>3882</v>
      </c>
      <c r="J49" s="36">
        <f t="shared" si="3"/>
        <v>22890</v>
      </c>
      <c r="K49" s="36">
        <f t="shared" si="16"/>
        <v>20430</v>
      </c>
      <c r="L49" s="37">
        <f>IFERROR((_xlfn.IFNA(VLOOKUP($C49,Dulieutho,ChiTiet!K$2,FALSE),"")+_xlfn.IFNA(VLOOKUP($C49,Dulieutho,ChiTiet!AK$2,FALSE),""))/80,0)</f>
        <v>39</v>
      </c>
      <c r="M49" s="36">
        <f t="shared" si="4"/>
        <v>4782</v>
      </c>
      <c r="N49" s="38">
        <f t="shared" si="5"/>
        <v>1020</v>
      </c>
      <c r="O49" s="46">
        <f t="shared" si="6"/>
        <v>12.75</v>
      </c>
      <c r="P49" s="39">
        <f t="shared" si="7"/>
        <v>1020</v>
      </c>
      <c r="Q49" s="40">
        <f t="shared" si="8"/>
        <v>696</v>
      </c>
      <c r="R49" s="36">
        <f t="shared" si="9"/>
        <v>4782</v>
      </c>
      <c r="S49" s="36">
        <f t="shared" si="10"/>
        <v>4782</v>
      </c>
      <c r="T49" s="36">
        <f t="shared" si="11"/>
        <v>4782</v>
      </c>
      <c r="U49" s="36">
        <f t="shared" si="12"/>
        <v>4782</v>
      </c>
      <c r="V49" s="40">
        <f t="shared" si="13"/>
        <v>3882</v>
      </c>
      <c r="W49" s="40">
        <f t="shared" si="14"/>
        <v>696</v>
      </c>
      <c r="X49" s="40">
        <f t="shared" si="15"/>
        <v>204</v>
      </c>
    </row>
    <row r="50" spans="2:24" ht="15.6">
      <c r="B50" s="10" t="s">
        <v>93</v>
      </c>
      <c r="C50" s="9" t="s">
        <v>190</v>
      </c>
      <c r="D50" s="11" t="s">
        <v>191</v>
      </c>
      <c r="E50" s="35">
        <f>_xlfn.IFNA(VLOOKUP($C50,Dulieutho,ChiTiet!F$2,FALSE),"")</f>
        <v>1856</v>
      </c>
      <c r="F50" s="35">
        <f>_xlfn.IFNA(VLOOKUP($C50,Dulieutho,ChiTiet!G$2,FALSE),"")</f>
        <v>268</v>
      </c>
      <c r="G50" s="35">
        <f>_xlfn.IFNA(VLOOKUP($C50,Dulieutho,ChiTiet!H$2,FALSE),"")</f>
        <v>1020</v>
      </c>
      <c r="H50" s="35">
        <f>_xlfn.IFNA(VLOOKUP($C50,Dulieutho,ChiTiet!I$2,FALSE),"")</f>
        <v>816</v>
      </c>
      <c r="I50" s="45">
        <f t="shared" si="2"/>
        <v>2876</v>
      </c>
      <c r="J50" s="36">
        <f t="shared" si="3"/>
        <v>15720</v>
      </c>
      <c r="K50" s="36">
        <f t="shared" si="16"/>
        <v>16420</v>
      </c>
      <c r="L50" s="37">
        <f>IFERROR((_xlfn.IFNA(VLOOKUP($C50,Dulieutho,ChiTiet!K$2,FALSE),"")+_xlfn.IFNA(VLOOKUP($C50,Dulieutho,ChiTiet!AK$2,FALSE),""))/80,0)</f>
        <v>21.375</v>
      </c>
      <c r="M50" s="36">
        <f t="shared" si="4"/>
        <v>3552</v>
      </c>
      <c r="N50" s="38">
        <f t="shared" si="5"/>
        <v>2040</v>
      </c>
      <c r="O50" s="46">
        <f t="shared" si="6"/>
        <v>25.5</v>
      </c>
      <c r="P50" s="39">
        <f t="shared" si="7"/>
        <v>2040</v>
      </c>
      <c r="Q50" s="40">
        <f t="shared" si="8"/>
        <v>268</v>
      </c>
      <c r="R50" s="36">
        <f t="shared" si="9"/>
        <v>3552</v>
      </c>
      <c r="S50" s="36">
        <f t="shared" si="10"/>
        <v>3552</v>
      </c>
      <c r="T50" s="36">
        <f t="shared" si="11"/>
        <v>3552</v>
      </c>
      <c r="U50" s="36">
        <f t="shared" si="12"/>
        <v>3552</v>
      </c>
      <c r="V50" s="40">
        <f t="shared" si="13"/>
        <v>2876</v>
      </c>
      <c r="W50" s="40">
        <f t="shared" si="14"/>
        <v>268</v>
      </c>
      <c r="X50" s="40">
        <f t="shared" si="15"/>
        <v>408</v>
      </c>
    </row>
    <row r="51" spans="2:24" ht="15.6">
      <c r="B51" s="10" t="s">
        <v>93</v>
      </c>
      <c r="C51" s="9" t="s">
        <v>192</v>
      </c>
      <c r="D51" s="11" t="s">
        <v>193</v>
      </c>
      <c r="E51" s="35">
        <f>_xlfn.IFNA(VLOOKUP($C51,Dulieutho,ChiTiet!F$2,FALSE),"")</f>
        <v>1564</v>
      </c>
      <c r="F51" s="35">
        <f>_xlfn.IFNA(VLOOKUP($C51,Dulieutho,ChiTiet!G$2,FALSE),"")</f>
        <v>228</v>
      </c>
      <c r="G51" s="35">
        <f>_xlfn.IFNA(VLOOKUP($C51,Dulieutho,ChiTiet!H$2,FALSE),"")</f>
        <v>740</v>
      </c>
      <c r="H51" s="35">
        <f>_xlfn.IFNA(VLOOKUP($C51,Dulieutho,ChiTiet!I$2,FALSE),"")</f>
        <v>648</v>
      </c>
      <c r="I51" s="45">
        <f t="shared" si="2"/>
        <v>2304</v>
      </c>
      <c r="J51" s="36">
        <f t="shared" si="3"/>
        <v>12660</v>
      </c>
      <c r="K51" s="36">
        <f t="shared" si="16"/>
        <v>13140</v>
      </c>
      <c r="L51" s="37">
        <f>IFERROR((_xlfn.IFNA(VLOOKUP($C51,Dulieutho,ChiTiet!K$2,FALSE),"")+_xlfn.IFNA(VLOOKUP($C51,Dulieutho,ChiTiet!AK$2,FALSE),""))/80,0)</f>
        <v>19.875</v>
      </c>
      <c r="M51" s="36">
        <f t="shared" si="4"/>
        <v>2856</v>
      </c>
      <c r="N51" s="38">
        <f t="shared" si="5"/>
        <v>1620</v>
      </c>
      <c r="O51" s="46">
        <f t="shared" si="6"/>
        <v>20.25</v>
      </c>
      <c r="P51" s="39">
        <f t="shared" si="7"/>
        <v>1620</v>
      </c>
      <c r="Q51" s="40">
        <f t="shared" si="8"/>
        <v>228</v>
      </c>
      <c r="R51" s="36">
        <f t="shared" si="9"/>
        <v>2856</v>
      </c>
      <c r="S51" s="36">
        <f t="shared" si="10"/>
        <v>2856</v>
      </c>
      <c r="T51" s="36">
        <f t="shared" si="11"/>
        <v>2856</v>
      </c>
      <c r="U51" s="36">
        <f t="shared" si="12"/>
        <v>2856</v>
      </c>
      <c r="V51" s="40">
        <f t="shared" si="13"/>
        <v>2304</v>
      </c>
      <c r="W51" s="40">
        <f t="shared" si="14"/>
        <v>228</v>
      </c>
      <c r="X51" s="40">
        <f t="shared" si="15"/>
        <v>324</v>
      </c>
    </row>
    <row r="52" spans="2:24" ht="15.6">
      <c r="B52" s="10" t="s">
        <v>93</v>
      </c>
      <c r="C52" s="9" t="s">
        <v>194</v>
      </c>
      <c r="D52" s="11" t="s">
        <v>195</v>
      </c>
      <c r="E52" s="35">
        <f>_xlfn.IFNA(VLOOKUP($C52,Dulieutho,ChiTiet!F$2,FALSE),"")</f>
        <v>1272</v>
      </c>
      <c r="F52" s="35">
        <f>_xlfn.IFNA(VLOOKUP($C52,Dulieutho,ChiTiet!G$2,FALSE),"")</f>
        <v>124</v>
      </c>
      <c r="G52" s="35">
        <f>_xlfn.IFNA(VLOOKUP($C52,Dulieutho,ChiTiet!H$2,FALSE),"")</f>
        <v>270</v>
      </c>
      <c r="H52" s="35">
        <f>_xlfn.IFNA(VLOOKUP($C52,Dulieutho,ChiTiet!I$2,FALSE),"")</f>
        <v>312</v>
      </c>
      <c r="I52" s="45">
        <f t="shared" si="2"/>
        <v>1542</v>
      </c>
      <c r="J52" s="36">
        <f t="shared" si="3"/>
        <v>8330</v>
      </c>
      <c r="K52" s="36">
        <f t="shared" si="16"/>
        <v>8490</v>
      </c>
      <c r="L52" s="37">
        <f>IFERROR((_xlfn.IFNA(VLOOKUP($C52,Dulieutho,ChiTiet!K$2,FALSE),"")+_xlfn.IFNA(VLOOKUP($C52,Dulieutho,ChiTiet!AK$2,FALSE),""))/80,0)</f>
        <v>14.625</v>
      </c>
      <c r="M52" s="36">
        <f t="shared" si="4"/>
        <v>1822</v>
      </c>
      <c r="N52" s="38">
        <f t="shared" si="5"/>
        <v>780</v>
      </c>
      <c r="O52" s="46">
        <f t="shared" si="6"/>
        <v>9.75</v>
      </c>
      <c r="P52" s="39">
        <f t="shared" si="7"/>
        <v>780</v>
      </c>
      <c r="Q52" s="40">
        <f t="shared" si="8"/>
        <v>124</v>
      </c>
      <c r="R52" s="36">
        <f t="shared" si="9"/>
        <v>1822</v>
      </c>
      <c r="S52" s="36">
        <f t="shared" si="10"/>
        <v>1822</v>
      </c>
      <c r="T52" s="36">
        <f t="shared" si="11"/>
        <v>1822</v>
      </c>
      <c r="U52" s="36">
        <f t="shared" si="12"/>
        <v>1822</v>
      </c>
      <c r="V52" s="40">
        <f t="shared" si="13"/>
        <v>1542</v>
      </c>
      <c r="W52" s="40">
        <f t="shared" si="14"/>
        <v>124</v>
      </c>
      <c r="X52" s="40">
        <f t="shared" si="15"/>
        <v>156</v>
      </c>
    </row>
    <row r="53" spans="2:24" ht="15.6">
      <c r="B53" s="10" t="s">
        <v>93</v>
      </c>
      <c r="C53" s="9" t="s">
        <v>196</v>
      </c>
      <c r="D53" s="11" t="s">
        <v>197</v>
      </c>
      <c r="E53" s="35">
        <f>_xlfn.IFNA(VLOOKUP($C53,Dulieutho,ChiTiet!F$2,FALSE),"")</f>
        <v>1224</v>
      </c>
      <c r="F53" s="35">
        <f>_xlfn.IFNA(VLOOKUP($C53,Dulieutho,ChiTiet!G$2,FALSE),"")</f>
        <v>176</v>
      </c>
      <c r="G53" s="35">
        <f>_xlfn.IFNA(VLOOKUP($C53,Dulieutho,ChiTiet!H$2,FALSE),"")</f>
        <v>160</v>
      </c>
      <c r="H53" s="35">
        <f>_xlfn.IFNA(VLOOKUP($C53,Dulieutho,ChiTiet!I$2,FALSE),"")</f>
        <v>336</v>
      </c>
      <c r="I53" s="45">
        <f t="shared" si="2"/>
        <v>1384</v>
      </c>
      <c r="J53" s="36">
        <f t="shared" si="3"/>
        <v>7800</v>
      </c>
      <c r="K53" s="36">
        <f t="shared" si="16"/>
        <v>7760</v>
      </c>
      <c r="L53" s="37">
        <f>IFERROR((_xlfn.IFNA(VLOOKUP($C53,Dulieutho,ChiTiet!K$2,FALSE),"")+_xlfn.IFNA(VLOOKUP($C53,Dulieutho,ChiTiet!AK$2,FALSE),""))/80,0)</f>
        <v>10.875</v>
      </c>
      <c r="M53" s="36">
        <f t="shared" si="4"/>
        <v>1728</v>
      </c>
      <c r="N53" s="38">
        <f t="shared" si="5"/>
        <v>840</v>
      </c>
      <c r="O53" s="46">
        <f t="shared" si="6"/>
        <v>10.5</v>
      </c>
      <c r="P53" s="39">
        <f t="shared" si="7"/>
        <v>840</v>
      </c>
      <c r="Q53" s="40">
        <f t="shared" si="8"/>
        <v>176</v>
      </c>
      <c r="R53" s="36">
        <f t="shared" si="9"/>
        <v>1728</v>
      </c>
      <c r="S53" s="36">
        <f t="shared" si="10"/>
        <v>1728</v>
      </c>
      <c r="T53" s="36">
        <f t="shared" si="11"/>
        <v>1728</v>
      </c>
      <c r="U53" s="36">
        <f t="shared" si="12"/>
        <v>1728</v>
      </c>
      <c r="V53" s="40">
        <f t="shared" si="13"/>
        <v>1384</v>
      </c>
      <c r="W53" s="40">
        <f t="shared" si="14"/>
        <v>176</v>
      </c>
      <c r="X53" s="40">
        <f t="shared" si="15"/>
        <v>168</v>
      </c>
    </row>
    <row r="54" spans="2:24" ht="15.6">
      <c r="B54" s="10" t="s">
        <v>93</v>
      </c>
      <c r="C54" s="9" t="s">
        <v>198</v>
      </c>
      <c r="D54" s="11" t="s">
        <v>199</v>
      </c>
      <c r="E54" s="35">
        <f>_xlfn.IFNA(VLOOKUP($C54,Dulieutho,ChiTiet!F$2,FALSE),"")</f>
        <v>644</v>
      </c>
      <c r="F54" s="35">
        <f>_xlfn.IFNA(VLOOKUP($C54,Dulieutho,ChiTiet!G$2,FALSE),"")</f>
        <v>48</v>
      </c>
      <c r="G54" s="35">
        <f>_xlfn.IFNA(VLOOKUP($C54,Dulieutho,ChiTiet!H$2,FALSE),"")</f>
        <v>160</v>
      </c>
      <c r="H54" s="35">
        <f>_xlfn.IFNA(VLOOKUP($C54,Dulieutho,ChiTiet!I$2,FALSE),"")</f>
        <v>144</v>
      </c>
      <c r="I54" s="45">
        <f t="shared" si="2"/>
        <v>804</v>
      </c>
      <c r="J54" s="36">
        <f t="shared" si="3"/>
        <v>4260</v>
      </c>
      <c r="K54" s="36">
        <f t="shared" si="16"/>
        <v>4380</v>
      </c>
      <c r="L54" s="37">
        <f>IFERROR((_xlfn.IFNA(VLOOKUP($C54,Dulieutho,ChiTiet!K$2,FALSE),"")+_xlfn.IFNA(VLOOKUP($C54,Dulieutho,ChiTiet!AK$2,FALSE),""))/80,0)</f>
        <v>9.75</v>
      </c>
      <c r="M54" s="36">
        <f t="shared" si="4"/>
        <v>924</v>
      </c>
      <c r="N54" s="38">
        <f t="shared" si="5"/>
        <v>360</v>
      </c>
      <c r="O54" s="46">
        <f t="shared" si="6"/>
        <v>4.5</v>
      </c>
      <c r="P54" s="39">
        <f t="shared" si="7"/>
        <v>360</v>
      </c>
      <c r="Q54" s="40">
        <f t="shared" si="8"/>
        <v>48</v>
      </c>
      <c r="R54" s="36">
        <f t="shared" si="9"/>
        <v>924</v>
      </c>
      <c r="S54" s="36">
        <f t="shared" si="10"/>
        <v>924</v>
      </c>
      <c r="T54" s="36">
        <f t="shared" si="11"/>
        <v>924</v>
      </c>
      <c r="U54" s="36">
        <f t="shared" si="12"/>
        <v>924</v>
      </c>
      <c r="V54" s="40">
        <f t="shared" si="13"/>
        <v>804</v>
      </c>
      <c r="W54" s="40">
        <f t="shared" si="14"/>
        <v>48</v>
      </c>
      <c r="X54" s="40">
        <f t="shared" si="15"/>
        <v>72</v>
      </c>
    </row>
    <row r="55" spans="2:24" ht="15.6">
      <c r="B55" s="10" t="s">
        <v>93</v>
      </c>
      <c r="C55" s="9" t="s">
        <v>200</v>
      </c>
      <c r="D55" s="11" t="s">
        <v>201</v>
      </c>
      <c r="E55" s="35">
        <f>_xlfn.IFNA(VLOOKUP($C55,Dulieutho,ChiTiet!F$2,FALSE),"")</f>
        <v>1012</v>
      </c>
      <c r="F55" s="35">
        <f>_xlfn.IFNA(VLOOKUP($C55,Dulieutho,ChiTiet!G$2,FALSE),"")</f>
        <v>72</v>
      </c>
      <c r="G55" s="35">
        <f>_xlfn.IFNA(VLOOKUP($C55,Dulieutho,ChiTiet!H$2,FALSE),"")</f>
        <v>120</v>
      </c>
      <c r="H55" s="35">
        <f>_xlfn.IFNA(VLOOKUP($C55,Dulieutho,ChiTiet!I$2,FALSE),"")</f>
        <v>120</v>
      </c>
      <c r="I55" s="45">
        <f t="shared" si="2"/>
        <v>1132</v>
      </c>
      <c r="J55" s="36">
        <f t="shared" si="3"/>
        <v>6020</v>
      </c>
      <c r="K55" s="36">
        <f t="shared" si="16"/>
        <v>5960</v>
      </c>
      <c r="L55" s="37">
        <f>IFERROR((_xlfn.IFNA(VLOOKUP($C55,Dulieutho,ChiTiet!K$2,FALSE),"")+_xlfn.IFNA(VLOOKUP($C55,Dulieutho,ChiTiet!AK$2,FALSE),""))/80,0)</f>
        <v>10.875</v>
      </c>
      <c r="M55" s="36">
        <f t="shared" si="4"/>
        <v>1264</v>
      </c>
      <c r="N55" s="38">
        <f t="shared" si="5"/>
        <v>300</v>
      </c>
      <c r="O55" s="46">
        <f t="shared" si="6"/>
        <v>3.75</v>
      </c>
      <c r="P55" s="39">
        <f t="shared" si="7"/>
        <v>300</v>
      </c>
      <c r="Q55" s="40">
        <f t="shared" si="8"/>
        <v>72</v>
      </c>
      <c r="R55" s="36">
        <f t="shared" si="9"/>
        <v>1264</v>
      </c>
      <c r="S55" s="36">
        <f t="shared" si="10"/>
        <v>1264</v>
      </c>
      <c r="T55" s="36">
        <f t="shared" si="11"/>
        <v>1264</v>
      </c>
      <c r="U55" s="36">
        <f t="shared" si="12"/>
        <v>1264</v>
      </c>
      <c r="V55" s="40">
        <f t="shared" si="13"/>
        <v>1132</v>
      </c>
      <c r="W55" s="40">
        <f t="shared" si="14"/>
        <v>72</v>
      </c>
      <c r="X55" s="40">
        <f t="shared" si="15"/>
        <v>60</v>
      </c>
    </row>
    <row r="56" spans="2:24" ht="15.6">
      <c r="B56" s="10" t="s">
        <v>93</v>
      </c>
      <c r="C56" s="9" t="s">
        <v>202</v>
      </c>
      <c r="D56" s="11" t="s">
        <v>203</v>
      </c>
      <c r="E56" s="35">
        <f>_xlfn.IFNA(VLOOKUP($C56,Dulieutho,ChiTiet!F$2,FALSE),"")</f>
        <v>1828</v>
      </c>
      <c r="F56" s="35">
        <f>_xlfn.IFNA(VLOOKUP($C56,Dulieutho,ChiTiet!G$2,FALSE),"")</f>
        <v>136</v>
      </c>
      <c r="G56" s="35">
        <f>_xlfn.IFNA(VLOOKUP($C56,Dulieutho,ChiTiet!H$2,FALSE),"")</f>
        <v>350</v>
      </c>
      <c r="H56" s="35">
        <f>_xlfn.IFNA(VLOOKUP($C56,Dulieutho,ChiTiet!I$2,FALSE),"")</f>
        <v>144</v>
      </c>
      <c r="I56" s="45">
        <f t="shared" si="2"/>
        <v>2178</v>
      </c>
      <c r="J56" s="36">
        <f t="shared" si="3"/>
        <v>11570</v>
      </c>
      <c r="K56" s="36">
        <f t="shared" si="16"/>
        <v>11250</v>
      </c>
      <c r="L56" s="37">
        <f>IFERROR((_xlfn.IFNA(VLOOKUP($C56,Dulieutho,ChiTiet!K$2,FALSE),"")+_xlfn.IFNA(VLOOKUP($C56,Dulieutho,ChiTiet!AK$2,FALSE),""))/80,0)</f>
        <v>19.125</v>
      </c>
      <c r="M56" s="36">
        <f t="shared" si="4"/>
        <v>2386</v>
      </c>
      <c r="N56" s="38">
        <f t="shared" si="5"/>
        <v>360</v>
      </c>
      <c r="O56" s="46">
        <f t="shared" si="6"/>
        <v>4.5</v>
      </c>
      <c r="P56" s="39">
        <f t="shared" si="7"/>
        <v>360</v>
      </c>
      <c r="Q56" s="40">
        <f t="shared" si="8"/>
        <v>136</v>
      </c>
      <c r="R56" s="36">
        <f t="shared" si="9"/>
        <v>2386</v>
      </c>
      <c r="S56" s="36">
        <f t="shared" si="10"/>
        <v>2386</v>
      </c>
      <c r="T56" s="36">
        <f t="shared" si="11"/>
        <v>2386</v>
      </c>
      <c r="U56" s="36">
        <f t="shared" si="12"/>
        <v>2386</v>
      </c>
      <c r="V56" s="40">
        <f t="shared" si="13"/>
        <v>2178</v>
      </c>
      <c r="W56" s="40">
        <f t="shared" si="14"/>
        <v>136</v>
      </c>
      <c r="X56" s="40">
        <f t="shared" si="15"/>
        <v>72</v>
      </c>
    </row>
    <row r="57" spans="2:24" ht="15.6">
      <c r="B57" s="10" t="s">
        <v>93</v>
      </c>
      <c r="C57" s="9" t="s">
        <v>204</v>
      </c>
      <c r="D57" s="11" t="s">
        <v>205</v>
      </c>
      <c r="E57" s="35">
        <f>_xlfn.IFNA(VLOOKUP($C57,Dulieutho,ChiTiet!F$2,FALSE),"")</f>
        <v>1276</v>
      </c>
      <c r="F57" s="35">
        <f>_xlfn.IFNA(VLOOKUP($C57,Dulieutho,ChiTiet!G$2,FALSE),"")</f>
        <v>184</v>
      </c>
      <c r="G57" s="35">
        <f>_xlfn.IFNA(VLOOKUP($C57,Dulieutho,ChiTiet!H$2,FALSE),"")</f>
        <v>200</v>
      </c>
      <c r="H57" s="35">
        <f>_xlfn.IFNA(VLOOKUP($C57,Dulieutho,ChiTiet!I$2,FALSE),"")</f>
        <v>216</v>
      </c>
      <c r="I57" s="45">
        <f t="shared" si="2"/>
        <v>1476</v>
      </c>
      <c r="J57" s="36">
        <f t="shared" si="3"/>
        <v>8300</v>
      </c>
      <c r="K57" s="36">
        <f t="shared" si="16"/>
        <v>7920</v>
      </c>
      <c r="L57" s="37">
        <f>IFERROR((_xlfn.IFNA(VLOOKUP($C57,Dulieutho,ChiTiet!K$2,FALSE),"")+_xlfn.IFNA(VLOOKUP($C57,Dulieutho,ChiTiet!AK$2,FALSE),""))/80,0)</f>
        <v>12</v>
      </c>
      <c r="M57" s="36">
        <f t="shared" si="4"/>
        <v>1768</v>
      </c>
      <c r="N57" s="38">
        <f t="shared" si="5"/>
        <v>540</v>
      </c>
      <c r="O57" s="46">
        <f t="shared" si="6"/>
        <v>6.75</v>
      </c>
      <c r="P57" s="39">
        <f t="shared" si="7"/>
        <v>540</v>
      </c>
      <c r="Q57" s="40">
        <f t="shared" si="8"/>
        <v>184</v>
      </c>
      <c r="R57" s="36">
        <f t="shared" si="9"/>
        <v>1768</v>
      </c>
      <c r="S57" s="36">
        <f t="shared" si="10"/>
        <v>1768</v>
      </c>
      <c r="T57" s="36">
        <f t="shared" si="11"/>
        <v>1768</v>
      </c>
      <c r="U57" s="36">
        <f t="shared" si="12"/>
        <v>1768</v>
      </c>
      <c r="V57" s="40">
        <f t="shared" si="13"/>
        <v>1476</v>
      </c>
      <c r="W57" s="40">
        <f t="shared" si="14"/>
        <v>184</v>
      </c>
      <c r="X57" s="40">
        <f t="shared" si="15"/>
        <v>108</v>
      </c>
    </row>
    <row r="58" spans="2:24" ht="15.6">
      <c r="B58" s="10" t="s">
        <v>93</v>
      </c>
      <c r="C58" s="9" t="s">
        <v>206</v>
      </c>
      <c r="D58" s="11" t="s">
        <v>207</v>
      </c>
      <c r="E58" s="35">
        <f>_xlfn.IFNA(VLOOKUP($C58,Dulieutho,ChiTiet!F$2,FALSE),"")</f>
        <v>828</v>
      </c>
      <c r="F58" s="35">
        <f>_xlfn.IFNA(VLOOKUP($C58,Dulieutho,ChiTiet!G$2,FALSE),"")</f>
        <v>76</v>
      </c>
      <c r="G58" s="35">
        <f>_xlfn.IFNA(VLOOKUP($C58,Dulieutho,ChiTiet!H$2,FALSE),"")</f>
        <v>210</v>
      </c>
      <c r="H58" s="35">
        <f>_xlfn.IFNA(VLOOKUP($C58,Dulieutho,ChiTiet!I$2,FALSE),"")</f>
        <v>336</v>
      </c>
      <c r="I58" s="45">
        <f t="shared" si="2"/>
        <v>1038</v>
      </c>
      <c r="J58" s="36">
        <f t="shared" si="3"/>
        <v>5570</v>
      </c>
      <c r="K58" s="36">
        <f t="shared" si="16"/>
        <v>6030</v>
      </c>
      <c r="L58" s="37">
        <f>IFERROR((_xlfn.IFNA(VLOOKUP($C58,Dulieutho,ChiTiet!K$2,FALSE),"")+_xlfn.IFNA(VLOOKUP($C58,Dulieutho,ChiTiet!AK$2,FALSE),""))/80,0)</f>
        <v>8.625</v>
      </c>
      <c r="M58" s="36">
        <f t="shared" si="4"/>
        <v>1282</v>
      </c>
      <c r="N58" s="38">
        <f t="shared" si="5"/>
        <v>840</v>
      </c>
      <c r="O58" s="46">
        <f t="shared" si="6"/>
        <v>10.5</v>
      </c>
      <c r="P58" s="39">
        <f t="shared" si="7"/>
        <v>840</v>
      </c>
      <c r="Q58" s="40">
        <f t="shared" si="8"/>
        <v>76</v>
      </c>
      <c r="R58" s="36">
        <f t="shared" si="9"/>
        <v>1282</v>
      </c>
      <c r="S58" s="36">
        <f t="shared" si="10"/>
        <v>1282</v>
      </c>
      <c r="T58" s="36">
        <f t="shared" si="11"/>
        <v>1282</v>
      </c>
      <c r="U58" s="36">
        <f t="shared" si="12"/>
        <v>1282</v>
      </c>
      <c r="V58" s="40">
        <f t="shared" si="13"/>
        <v>1038</v>
      </c>
      <c r="W58" s="40">
        <f t="shared" si="14"/>
        <v>76</v>
      </c>
      <c r="X58" s="40">
        <f t="shared" si="15"/>
        <v>168</v>
      </c>
    </row>
    <row r="59" spans="2:24" ht="15.6">
      <c r="B59" s="10" t="s">
        <v>93</v>
      </c>
      <c r="C59" s="9" t="s">
        <v>208</v>
      </c>
      <c r="D59" s="11" t="s">
        <v>209</v>
      </c>
      <c r="E59" s="35">
        <f>_xlfn.IFNA(VLOOKUP($C59,Dulieutho,ChiTiet!F$2,FALSE),"")</f>
        <v>1800</v>
      </c>
      <c r="F59" s="35">
        <f>_xlfn.IFNA(VLOOKUP($C59,Dulieutho,ChiTiet!G$2,FALSE),"")</f>
        <v>128</v>
      </c>
      <c r="G59" s="35">
        <f>_xlfn.IFNA(VLOOKUP($C59,Dulieutho,ChiTiet!H$2,FALSE),"")</f>
        <v>120</v>
      </c>
      <c r="H59" s="35">
        <f>_xlfn.IFNA(VLOOKUP($C59,Dulieutho,ChiTiet!I$2,FALSE),"")</f>
        <v>96</v>
      </c>
      <c r="I59" s="45">
        <f t="shared" si="2"/>
        <v>1920</v>
      </c>
      <c r="J59" s="36">
        <f t="shared" si="3"/>
        <v>10240</v>
      </c>
      <c r="K59" s="36">
        <f t="shared" si="16"/>
        <v>9840</v>
      </c>
      <c r="L59" s="37">
        <f>IFERROR((_xlfn.IFNA(VLOOKUP($C59,Dulieutho,ChiTiet!K$2,FALSE),"")+_xlfn.IFNA(VLOOKUP($C59,Dulieutho,ChiTiet!AK$2,FALSE),""))/80,0)</f>
        <v>16.5</v>
      </c>
      <c r="M59" s="36">
        <f t="shared" si="4"/>
        <v>2096</v>
      </c>
      <c r="N59" s="38">
        <f t="shared" si="5"/>
        <v>240</v>
      </c>
      <c r="O59" s="46">
        <f t="shared" si="6"/>
        <v>3</v>
      </c>
      <c r="P59" s="39">
        <f t="shared" si="7"/>
        <v>240</v>
      </c>
      <c r="Q59" s="40">
        <f t="shared" si="8"/>
        <v>128</v>
      </c>
      <c r="R59" s="36">
        <f t="shared" si="9"/>
        <v>2096</v>
      </c>
      <c r="S59" s="36">
        <f t="shared" si="10"/>
        <v>2096</v>
      </c>
      <c r="T59" s="36">
        <f t="shared" si="11"/>
        <v>2096</v>
      </c>
      <c r="U59" s="36">
        <f t="shared" si="12"/>
        <v>2096</v>
      </c>
      <c r="V59" s="40">
        <f t="shared" si="13"/>
        <v>1920</v>
      </c>
      <c r="W59" s="40">
        <f t="shared" si="14"/>
        <v>128</v>
      </c>
      <c r="X59" s="40">
        <f t="shared" si="15"/>
        <v>48</v>
      </c>
    </row>
    <row r="60" spans="2:24" ht="15.6">
      <c r="B60" s="10" t="s">
        <v>93</v>
      </c>
      <c r="C60" s="9" t="s">
        <v>210</v>
      </c>
      <c r="D60" s="11" t="s">
        <v>211</v>
      </c>
      <c r="E60" s="35">
        <f>_xlfn.IFNA(VLOOKUP($C60,Dulieutho,ChiTiet!F$2,FALSE),"")</f>
        <v>1540</v>
      </c>
      <c r="F60" s="35">
        <f>_xlfn.IFNA(VLOOKUP($C60,Dulieutho,ChiTiet!G$2,FALSE),"")</f>
        <v>312</v>
      </c>
      <c r="G60" s="35">
        <f>_xlfn.IFNA(VLOOKUP($C60,Dulieutho,ChiTiet!H$2,FALSE),"")</f>
        <v>430</v>
      </c>
      <c r="H60" s="35">
        <f>_xlfn.IFNA(VLOOKUP($C60,Dulieutho,ChiTiet!I$2,FALSE),"")</f>
        <v>480</v>
      </c>
      <c r="I60" s="45">
        <f t="shared" si="2"/>
        <v>1970</v>
      </c>
      <c r="J60" s="36">
        <f t="shared" si="3"/>
        <v>11410</v>
      </c>
      <c r="K60" s="36">
        <f t="shared" si="16"/>
        <v>11050</v>
      </c>
      <c r="L60" s="37">
        <f>IFERROR((_xlfn.IFNA(VLOOKUP($C60,Dulieutho,ChiTiet!K$2,FALSE),"")+_xlfn.IFNA(VLOOKUP($C60,Dulieutho,ChiTiet!AK$2,FALSE),""))/80,0)</f>
        <v>18</v>
      </c>
      <c r="M60" s="36">
        <f t="shared" si="4"/>
        <v>2522</v>
      </c>
      <c r="N60" s="38">
        <f t="shared" si="5"/>
        <v>1200</v>
      </c>
      <c r="O60" s="46">
        <f t="shared" si="6"/>
        <v>15</v>
      </c>
      <c r="P60" s="39">
        <f t="shared" si="7"/>
        <v>1200</v>
      </c>
      <c r="Q60" s="40">
        <f t="shared" si="8"/>
        <v>312</v>
      </c>
      <c r="R60" s="36">
        <f t="shared" si="9"/>
        <v>2522</v>
      </c>
      <c r="S60" s="36">
        <f t="shared" si="10"/>
        <v>2522</v>
      </c>
      <c r="T60" s="36">
        <f t="shared" si="11"/>
        <v>2522</v>
      </c>
      <c r="U60" s="36">
        <f t="shared" si="12"/>
        <v>2522</v>
      </c>
      <c r="V60" s="40">
        <f t="shared" si="13"/>
        <v>1970</v>
      </c>
      <c r="W60" s="40">
        <f t="shared" si="14"/>
        <v>312</v>
      </c>
      <c r="X60" s="40">
        <f t="shared" si="15"/>
        <v>240</v>
      </c>
    </row>
    <row r="61" spans="2:24" ht="15.6">
      <c r="B61" s="10" t="s">
        <v>93</v>
      </c>
      <c r="C61" s="9" t="s">
        <v>212</v>
      </c>
      <c r="D61" s="11" t="s">
        <v>213</v>
      </c>
      <c r="E61" s="35">
        <f>_xlfn.IFNA(VLOOKUP($C61,Dulieutho,ChiTiet!F$2,FALSE),"")</f>
        <v>680</v>
      </c>
      <c r="F61" s="35">
        <f>_xlfn.IFNA(VLOOKUP($C61,Dulieutho,ChiTiet!G$2,FALSE),"")</f>
        <v>252</v>
      </c>
      <c r="G61" s="35">
        <f>_xlfn.IFNA(VLOOKUP($C61,Dulieutho,ChiTiet!H$2,FALSE),"")</f>
        <v>260</v>
      </c>
      <c r="H61" s="35">
        <f>_xlfn.IFNA(VLOOKUP($C61,Dulieutho,ChiTiet!I$2,FALSE),"")</f>
        <v>312</v>
      </c>
      <c r="I61" s="45">
        <f t="shared" si="2"/>
        <v>940</v>
      </c>
      <c r="J61" s="36">
        <f t="shared" si="3"/>
        <v>5960</v>
      </c>
      <c r="K61" s="36">
        <f t="shared" si="16"/>
        <v>5480</v>
      </c>
      <c r="L61" s="37">
        <f>IFERROR((_xlfn.IFNA(VLOOKUP($C61,Dulieutho,ChiTiet!K$2,FALSE),"")+_xlfn.IFNA(VLOOKUP($C61,Dulieutho,ChiTiet!AK$2,FALSE),""))/80,0)</f>
        <v>7.125</v>
      </c>
      <c r="M61" s="36">
        <f t="shared" si="4"/>
        <v>1348</v>
      </c>
      <c r="N61" s="38">
        <f t="shared" si="5"/>
        <v>780</v>
      </c>
      <c r="O61" s="46">
        <f t="shared" si="6"/>
        <v>9.75</v>
      </c>
      <c r="P61" s="39">
        <f t="shared" si="7"/>
        <v>780</v>
      </c>
      <c r="Q61" s="40">
        <f t="shared" si="8"/>
        <v>252</v>
      </c>
      <c r="R61" s="36">
        <f t="shared" si="9"/>
        <v>1348</v>
      </c>
      <c r="S61" s="36">
        <f t="shared" si="10"/>
        <v>1348</v>
      </c>
      <c r="T61" s="36">
        <f t="shared" si="11"/>
        <v>1348</v>
      </c>
      <c r="U61" s="36">
        <f t="shared" si="12"/>
        <v>1348</v>
      </c>
      <c r="V61" s="40">
        <f t="shared" si="13"/>
        <v>940</v>
      </c>
      <c r="W61" s="40">
        <f t="shared" si="14"/>
        <v>252</v>
      </c>
      <c r="X61" s="40">
        <f t="shared" si="15"/>
        <v>156</v>
      </c>
    </row>
    <row r="62" spans="2:24" ht="15.6">
      <c r="B62" s="10" t="s">
        <v>93</v>
      </c>
      <c r="C62" s="9" t="s">
        <v>214</v>
      </c>
      <c r="D62" s="11" t="s">
        <v>215</v>
      </c>
      <c r="E62" s="35">
        <f>_xlfn.IFNA(VLOOKUP($C62,Dulieutho,ChiTiet!F$2,FALSE),"")</f>
        <v>680</v>
      </c>
      <c r="F62" s="35">
        <f>_xlfn.IFNA(VLOOKUP($C62,Dulieutho,ChiTiet!G$2,FALSE),"")</f>
        <v>52</v>
      </c>
      <c r="G62" s="35">
        <f>_xlfn.IFNA(VLOOKUP($C62,Dulieutho,ChiTiet!H$2,FALSE),"")</f>
        <v>180</v>
      </c>
      <c r="H62" s="35">
        <f>_xlfn.IFNA(VLOOKUP($C62,Dulieutho,ChiTiet!I$2,FALSE),"")</f>
        <v>120</v>
      </c>
      <c r="I62" s="45">
        <f t="shared" si="2"/>
        <v>860</v>
      </c>
      <c r="J62" s="36">
        <f t="shared" si="3"/>
        <v>4560</v>
      </c>
      <c r="K62" s="36">
        <f t="shared" si="16"/>
        <v>4600</v>
      </c>
      <c r="L62" s="37">
        <f>IFERROR((_xlfn.IFNA(VLOOKUP($C62,Dulieutho,ChiTiet!K$2,FALSE),"")+_xlfn.IFNA(VLOOKUP($C62,Dulieutho,ChiTiet!AK$2,FALSE),""))/80,0)</f>
        <v>7.125</v>
      </c>
      <c r="M62" s="36">
        <f t="shared" si="4"/>
        <v>972</v>
      </c>
      <c r="N62" s="38">
        <f t="shared" si="5"/>
        <v>300</v>
      </c>
      <c r="O62" s="46">
        <f t="shared" si="6"/>
        <v>3.75</v>
      </c>
      <c r="P62" s="39">
        <f t="shared" si="7"/>
        <v>300</v>
      </c>
      <c r="Q62" s="40">
        <f t="shared" si="8"/>
        <v>52</v>
      </c>
      <c r="R62" s="36">
        <f t="shared" si="9"/>
        <v>972</v>
      </c>
      <c r="S62" s="36">
        <f t="shared" si="10"/>
        <v>972</v>
      </c>
      <c r="T62" s="36">
        <f t="shared" si="11"/>
        <v>972</v>
      </c>
      <c r="U62" s="36">
        <f t="shared" si="12"/>
        <v>972</v>
      </c>
      <c r="V62" s="40">
        <f t="shared" si="13"/>
        <v>860</v>
      </c>
      <c r="W62" s="40">
        <f t="shared" si="14"/>
        <v>52</v>
      </c>
      <c r="X62" s="40">
        <f t="shared" si="15"/>
        <v>60</v>
      </c>
    </row>
    <row r="63" spans="2:24" ht="15.6">
      <c r="B63" s="10" t="s">
        <v>93</v>
      </c>
      <c r="C63" s="9" t="s">
        <v>216</v>
      </c>
      <c r="D63" s="11" t="s">
        <v>217</v>
      </c>
      <c r="E63" s="35">
        <f>_xlfn.IFNA(VLOOKUP($C63,Dulieutho,ChiTiet!F$2,FALSE),"")</f>
        <v>1456</v>
      </c>
      <c r="F63" s="35">
        <f>_xlfn.IFNA(VLOOKUP($C63,Dulieutho,ChiTiet!G$2,FALSE),"")</f>
        <v>176</v>
      </c>
      <c r="G63" s="35">
        <f>_xlfn.IFNA(VLOOKUP($C63,Dulieutho,ChiTiet!H$2,FALSE),"")</f>
        <v>20</v>
      </c>
      <c r="H63" s="35">
        <f>_xlfn.IFNA(VLOOKUP($C63,Dulieutho,ChiTiet!I$2,FALSE),"")</f>
        <v>48</v>
      </c>
      <c r="I63" s="45">
        <f t="shared" si="2"/>
        <v>1476</v>
      </c>
      <c r="J63" s="36">
        <f t="shared" si="3"/>
        <v>8260</v>
      </c>
      <c r="K63" s="36">
        <f t="shared" si="16"/>
        <v>7500</v>
      </c>
      <c r="L63" s="37">
        <f>IFERROR((_xlfn.IFNA(VLOOKUP($C63,Dulieutho,ChiTiet!K$2,FALSE),"")+_xlfn.IFNA(VLOOKUP($C63,Dulieutho,ChiTiet!AK$2,FALSE),""))/80,0)</f>
        <v>10.5</v>
      </c>
      <c r="M63" s="36">
        <f t="shared" si="4"/>
        <v>1676</v>
      </c>
      <c r="N63" s="38">
        <f t="shared" si="5"/>
        <v>120</v>
      </c>
      <c r="O63" s="46">
        <f t="shared" si="6"/>
        <v>1.5</v>
      </c>
      <c r="P63" s="39">
        <f t="shared" si="7"/>
        <v>120</v>
      </c>
      <c r="Q63" s="40">
        <f t="shared" si="8"/>
        <v>176</v>
      </c>
      <c r="R63" s="36">
        <f t="shared" si="9"/>
        <v>1676</v>
      </c>
      <c r="S63" s="36">
        <f t="shared" si="10"/>
        <v>1676</v>
      </c>
      <c r="T63" s="36">
        <f t="shared" si="11"/>
        <v>1676</v>
      </c>
      <c r="U63" s="36">
        <f t="shared" si="12"/>
        <v>1676</v>
      </c>
      <c r="V63" s="40">
        <f t="shared" si="13"/>
        <v>1476</v>
      </c>
      <c r="W63" s="40">
        <f t="shared" si="14"/>
        <v>176</v>
      </c>
      <c r="X63" s="40">
        <f t="shared" si="15"/>
        <v>24</v>
      </c>
    </row>
    <row r="64" spans="2:24" ht="15.6">
      <c r="B64" s="10" t="s">
        <v>219</v>
      </c>
      <c r="C64" s="9" t="s">
        <v>218</v>
      </c>
      <c r="D64" s="11" t="s">
        <v>220</v>
      </c>
      <c r="E64" s="35">
        <f>_xlfn.IFNA(VLOOKUP($C64,Dulieutho,ChiTiet!F$2,FALSE),"")</f>
        <v>844</v>
      </c>
      <c r="F64" s="35">
        <f>_xlfn.IFNA(VLOOKUP($C64,Dulieutho,ChiTiet!G$2,FALSE),"")</f>
        <v>128</v>
      </c>
      <c r="G64" s="35">
        <f>_xlfn.IFNA(VLOOKUP($C64,Dulieutho,ChiTiet!H$2,FALSE),"")</f>
        <v>350</v>
      </c>
      <c r="H64" s="35">
        <f>_xlfn.IFNA(VLOOKUP($C64,Dulieutho,ChiTiet!I$2,FALSE),"")</f>
        <v>336</v>
      </c>
      <c r="I64" s="45">
        <f t="shared" si="2"/>
        <v>1194</v>
      </c>
      <c r="J64" s="36">
        <f t="shared" si="3"/>
        <v>6610</v>
      </c>
      <c r="K64" s="36">
        <f t="shared" si="16"/>
        <v>6810</v>
      </c>
      <c r="L64" s="37">
        <f>IFERROR((_xlfn.IFNA(VLOOKUP($C64,Dulieutho,ChiTiet!K$2,FALSE),"")+_xlfn.IFNA(VLOOKUP($C64,Dulieutho,ChiTiet!AK$2,FALSE),""))/80,0)</f>
        <v>8.25</v>
      </c>
      <c r="M64" s="36">
        <f t="shared" si="4"/>
        <v>1490</v>
      </c>
      <c r="N64" s="38">
        <f t="shared" si="5"/>
        <v>840</v>
      </c>
      <c r="O64" s="46">
        <f t="shared" si="6"/>
        <v>10.5</v>
      </c>
      <c r="P64" s="39">
        <f t="shared" si="7"/>
        <v>840</v>
      </c>
      <c r="Q64" s="40">
        <f t="shared" si="8"/>
        <v>128</v>
      </c>
      <c r="R64" s="36">
        <f t="shared" si="9"/>
        <v>1490</v>
      </c>
      <c r="S64" s="36">
        <f t="shared" si="10"/>
        <v>1490</v>
      </c>
      <c r="T64" s="36">
        <f t="shared" si="11"/>
        <v>1490</v>
      </c>
      <c r="U64" s="36">
        <f t="shared" si="12"/>
        <v>1490</v>
      </c>
      <c r="V64" s="40">
        <f t="shared" si="13"/>
        <v>1194</v>
      </c>
      <c r="W64" s="40">
        <f t="shared" si="14"/>
        <v>128</v>
      </c>
      <c r="X64" s="40">
        <f t="shared" si="15"/>
        <v>168</v>
      </c>
    </row>
    <row r="65" spans="2:24" ht="15.6">
      <c r="B65" s="10" t="s">
        <v>219</v>
      </c>
      <c r="C65" s="9" t="s">
        <v>221</v>
      </c>
      <c r="D65" s="11" t="s">
        <v>222</v>
      </c>
      <c r="E65" s="35">
        <f>_xlfn.IFNA(VLOOKUP($C65,Dulieutho,ChiTiet!F$2,FALSE),"")</f>
        <v>632</v>
      </c>
      <c r="F65" s="35">
        <f>_xlfn.IFNA(VLOOKUP($C65,Dulieutho,ChiTiet!G$2,FALSE),"")</f>
        <v>40</v>
      </c>
      <c r="G65" s="35">
        <f>_xlfn.IFNA(VLOOKUP($C65,Dulieutho,ChiTiet!H$2,FALSE),"")</f>
        <v>260</v>
      </c>
      <c r="H65" s="35">
        <f>_xlfn.IFNA(VLOOKUP($C65,Dulieutho,ChiTiet!I$2,FALSE),"")</f>
        <v>168</v>
      </c>
      <c r="I65" s="45">
        <f t="shared" si="2"/>
        <v>892</v>
      </c>
      <c r="J65" s="36">
        <f t="shared" si="3"/>
        <v>4660</v>
      </c>
      <c r="K65" s="36">
        <f t="shared" si="16"/>
        <v>4880</v>
      </c>
      <c r="L65" s="37">
        <f>IFERROR((_xlfn.IFNA(VLOOKUP($C65,Dulieutho,ChiTiet!K$2,FALSE),"")+_xlfn.IFNA(VLOOKUP($C65,Dulieutho,ChiTiet!AK$2,FALSE),""))/80,0)</f>
        <v>7.5</v>
      </c>
      <c r="M65" s="36">
        <f t="shared" si="4"/>
        <v>1016</v>
      </c>
      <c r="N65" s="38">
        <f t="shared" si="5"/>
        <v>420</v>
      </c>
      <c r="O65" s="46">
        <f t="shared" si="6"/>
        <v>5.25</v>
      </c>
      <c r="P65" s="39">
        <f t="shared" si="7"/>
        <v>420</v>
      </c>
      <c r="Q65" s="40">
        <f t="shared" si="8"/>
        <v>40</v>
      </c>
      <c r="R65" s="36">
        <f t="shared" si="9"/>
        <v>1016</v>
      </c>
      <c r="S65" s="36">
        <f t="shared" si="10"/>
        <v>1016</v>
      </c>
      <c r="T65" s="36">
        <f t="shared" si="11"/>
        <v>1016</v>
      </c>
      <c r="U65" s="36">
        <f t="shared" si="12"/>
        <v>1016</v>
      </c>
      <c r="V65" s="40">
        <f t="shared" si="13"/>
        <v>892</v>
      </c>
      <c r="W65" s="40">
        <f t="shared" si="14"/>
        <v>40</v>
      </c>
      <c r="X65" s="40">
        <f t="shared" si="15"/>
        <v>84</v>
      </c>
    </row>
    <row r="66" spans="2:24" ht="15.6">
      <c r="B66" s="10" t="s">
        <v>219</v>
      </c>
      <c r="C66" s="9" t="s">
        <v>223</v>
      </c>
      <c r="D66" s="11" t="s">
        <v>224</v>
      </c>
      <c r="E66" s="35">
        <f>_xlfn.IFNA(VLOOKUP($C66,Dulieutho,ChiTiet!F$2,FALSE),"")</f>
        <v>660</v>
      </c>
      <c r="F66" s="35">
        <f>_xlfn.IFNA(VLOOKUP($C66,Dulieutho,ChiTiet!G$2,FALSE),"")</f>
        <v>56</v>
      </c>
      <c r="G66" s="35">
        <f>_xlfn.IFNA(VLOOKUP($C66,Dulieutho,ChiTiet!H$2,FALSE),"")</f>
        <v>90</v>
      </c>
      <c r="H66" s="35">
        <f>_xlfn.IFNA(VLOOKUP($C66,Dulieutho,ChiTiet!I$2,FALSE),"")</f>
        <v>0</v>
      </c>
      <c r="I66" s="45">
        <f t="shared" si="2"/>
        <v>750</v>
      </c>
      <c r="J66" s="36">
        <f t="shared" si="3"/>
        <v>4030</v>
      </c>
      <c r="K66" s="36">
        <f t="shared" si="16"/>
        <v>3750</v>
      </c>
      <c r="L66" s="37">
        <f>IFERROR((_xlfn.IFNA(VLOOKUP($C66,Dulieutho,ChiTiet!K$2,FALSE),"")+_xlfn.IFNA(VLOOKUP($C66,Dulieutho,ChiTiet!AK$2,FALSE),""))/80,0)</f>
        <v>5.25</v>
      </c>
      <c r="M66" s="36">
        <f t="shared" si="4"/>
        <v>806</v>
      </c>
      <c r="N66" s="38">
        <f t="shared" si="5"/>
        <v>0</v>
      </c>
      <c r="O66" s="46">
        <f t="shared" si="6"/>
        <v>0</v>
      </c>
      <c r="P66" s="39">
        <f t="shared" si="7"/>
        <v>0</v>
      </c>
      <c r="Q66" s="40">
        <f t="shared" si="8"/>
        <v>56</v>
      </c>
      <c r="R66" s="36">
        <f t="shared" si="9"/>
        <v>806</v>
      </c>
      <c r="S66" s="36">
        <f t="shared" si="10"/>
        <v>806</v>
      </c>
      <c r="T66" s="36">
        <f t="shared" si="11"/>
        <v>806</v>
      </c>
      <c r="U66" s="36">
        <f t="shared" si="12"/>
        <v>806</v>
      </c>
      <c r="V66" s="40">
        <f t="shared" si="13"/>
        <v>750</v>
      </c>
      <c r="W66" s="40">
        <f t="shared" si="14"/>
        <v>56</v>
      </c>
      <c r="X66" s="40">
        <f t="shared" si="15"/>
        <v>0</v>
      </c>
    </row>
    <row r="67" spans="2:24" ht="15.6">
      <c r="B67" s="10" t="s">
        <v>219</v>
      </c>
      <c r="C67" s="9" t="s">
        <v>225</v>
      </c>
      <c r="D67" s="11" t="s">
        <v>226</v>
      </c>
      <c r="E67" s="35">
        <f>_xlfn.IFNA(VLOOKUP($C67,Dulieutho,ChiTiet!F$2,FALSE),"")</f>
        <v>1332</v>
      </c>
      <c r="F67" s="35">
        <f>_xlfn.IFNA(VLOOKUP($C67,Dulieutho,ChiTiet!G$2,FALSE),"")</f>
        <v>392</v>
      </c>
      <c r="G67" s="35">
        <f>_xlfn.IFNA(VLOOKUP($C67,Dulieutho,ChiTiet!H$2,FALSE),"")</f>
        <v>400</v>
      </c>
      <c r="H67" s="35">
        <f>_xlfn.IFNA(VLOOKUP($C67,Dulieutho,ChiTiet!I$2,FALSE),"")</f>
        <v>816</v>
      </c>
      <c r="I67" s="45">
        <f t="shared" si="2"/>
        <v>1732</v>
      </c>
      <c r="J67" s="36">
        <f t="shared" si="3"/>
        <v>10620</v>
      </c>
      <c r="K67" s="36">
        <f t="shared" ref="K67:K95" si="17">IFERROR(((E67+G67)*5)+(H67/2*5),0)</f>
        <v>10700</v>
      </c>
      <c r="L67" s="37">
        <f>IFERROR((_xlfn.IFNA(VLOOKUP($C67,Dulieutho,ChiTiet!K$2,FALSE),"")+_xlfn.IFNA(VLOOKUP($C67,Dulieutho,ChiTiet!AK$2,FALSE),""))/80,0)</f>
        <v>11.25</v>
      </c>
      <c r="M67" s="36">
        <f t="shared" si="4"/>
        <v>2532</v>
      </c>
      <c r="N67" s="38">
        <f t="shared" si="5"/>
        <v>2040</v>
      </c>
      <c r="O67" s="46">
        <f t="shared" si="6"/>
        <v>25.5</v>
      </c>
      <c r="P67" s="39">
        <f t="shared" si="7"/>
        <v>2040</v>
      </c>
      <c r="Q67" s="40">
        <f t="shared" si="8"/>
        <v>392</v>
      </c>
      <c r="R67" s="36">
        <f t="shared" si="9"/>
        <v>2532</v>
      </c>
      <c r="S67" s="36">
        <f t="shared" si="10"/>
        <v>2532</v>
      </c>
      <c r="T67" s="36">
        <f t="shared" si="11"/>
        <v>2532</v>
      </c>
      <c r="U67" s="36">
        <f t="shared" si="12"/>
        <v>2532</v>
      </c>
      <c r="V67" s="40">
        <f t="shared" si="13"/>
        <v>1732</v>
      </c>
      <c r="W67" s="40">
        <f t="shared" si="14"/>
        <v>392</v>
      </c>
      <c r="X67" s="40">
        <f t="shared" si="15"/>
        <v>408</v>
      </c>
    </row>
    <row r="68" spans="2:24" ht="15.6">
      <c r="B68" s="10" t="s">
        <v>219</v>
      </c>
      <c r="C68" s="9" t="s">
        <v>227</v>
      </c>
      <c r="D68" s="11" t="s">
        <v>228</v>
      </c>
      <c r="E68" s="35">
        <f>_xlfn.IFNA(VLOOKUP($C68,Dulieutho,ChiTiet!F$2,FALSE),"")</f>
        <v>800</v>
      </c>
      <c r="F68" s="35">
        <f>_xlfn.IFNA(VLOOKUP($C68,Dulieutho,ChiTiet!G$2,FALSE),"")</f>
        <v>84</v>
      </c>
      <c r="G68" s="35">
        <f>_xlfn.IFNA(VLOOKUP($C68,Dulieutho,ChiTiet!H$2,FALSE),"")</f>
        <v>310</v>
      </c>
      <c r="H68" s="35">
        <f>_xlfn.IFNA(VLOOKUP($C68,Dulieutho,ChiTiet!I$2,FALSE),"")</f>
        <v>216</v>
      </c>
      <c r="I68" s="45">
        <f t="shared" ref="I68:I95" si="18">IFERROR((E68+G68)*1,0)</f>
        <v>1110</v>
      </c>
      <c r="J68" s="36">
        <f t="shared" ref="J68:J95" si="19">SUM(E68:G68)*5</f>
        <v>5970</v>
      </c>
      <c r="K68" s="36">
        <f t="shared" si="17"/>
        <v>6090</v>
      </c>
      <c r="L68" s="37">
        <f>IFERROR((_xlfn.IFNA(VLOOKUP($C68,Dulieutho,ChiTiet!K$2,FALSE),"")+_xlfn.IFNA(VLOOKUP($C68,Dulieutho,ChiTiet!AK$2,FALSE),""))/80,0)</f>
        <v>10.875</v>
      </c>
      <c r="M68" s="36">
        <f t="shared" ref="M68:M95" si="20">IFERROR((E68+G68+F68+(H68/2))*1,0)</f>
        <v>1302</v>
      </c>
      <c r="N68" s="38">
        <f t="shared" ref="N68:N95" si="21">IFERROR(H68/2*5,0)</f>
        <v>540</v>
      </c>
      <c r="O68" s="46">
        <f t="shared" ref="O68:O95" si="22">IFERROR(H68/2/16,0)</f>
        <v>6.75</v>
      </c>
      <c r="P68" s="39">
        <f t="shared" ref="P68:P95" si="23">IFERROR(H68/2*5,0)</f>
        <v>540</v>
      </c>
      <c r="Q68" s="40">
        <f t="shared" ref="Q68:Q95" si="24">IFERROR(F68*1,0)</f>
        <v>84</v>
      </c>
      <c r="R68" s="36">
        <f t="shared" ref="R68:R95" si="25">IFERROR((E68+G68+F68+(H68/2)*1),0)</f>
        <v>1302</v>
      </c>
      <c r="S68" s="36">
        <f t="shared" ref="S68:S95" si="26">IFERROR((E68+G68+F68+(H68/2)*1),0)</f>
        <v>1302</v>
      </c>
      <c r="T68" s="36">
        <f t="shared" ref="T68:T94" si="27">S68</f>
        <v>1302</v>
      </c>
      <c r="U68" s="36">
        <f t="shared" ref="U68:U95" si="28">S68</f>
        <v>1302</v>
      </c>
      <c r="V68" s="40">
        <f t="shared" ref="V68:V95" si="29">I68</f>
        <v>1110</v>
      </c>
      <c r="W68" s="40">
        <f t="shared" ref="W68:W95" si="30">F68</f>
        <v>84</v>
      </c>
      <c r="X68" s="40">
        <f t="shared" ref="X68:X95" si="31">IFERROR(H68/2,0)</f>
        <v>108</v>
      </c>
    </row>
    <row r="69" spans="2:24" ht="15.6">
      <c r="B69" s="10" t="s">
        <v>219</v>
      </c>
      <c r="C69" s="9" t="s">
        <v>229</v>
      </c>
      <c r="D69" s="11" t="s">
        <v>230</v>
      </c>
      <c r="E69" s="35">
        <f>_xlfn.IFNA(VLOOKUP($C69,Dulieutho,ChiTiet!F$2,FALSE),"")</f>
        <v>1496</v>
      </c>
      <c r="F69" s="35">
        <f>_xlfn.IFNA(VLOOKUP($C69,Dulieutho,ChiTiet!G$2,FALSE),"")</f>
        <v>100</v>
      </c>
      <c r="G69" s="35">
        <f>_xlfn.IFNA(VLOOKUP($C69,Dulieutho,ChiTiet!H$2,FALSE),"")</f>
        <v>90</v>
      </c>
      <c r="H69" s="35">
        <f>_xlfn.IFNA(VLOOKUP($C69,Dulieutho,ChiTiet!I$2,FALSE),"")</f>
        <v>312</v>
      </c>
      <c r="I69" s="45">
        <f t="shared" si="18"/>
        <v>1586</v>
      </c>
      <c r="J69" s="36">
        <f t="shared" si="19"/>
        <v>8430</v>
      </c>
      <c r="K69" s="36">
        <f t="shared" si="17"/>
        <v>8710</v>
      </c>
      <c r="L69" s="37">
        <f>IFERROR((_xlfn.IFNA(VLOOKUP($C69,Dulieutho,ChiTiet!K$2,FALSE),"")+_xlfn.IFNA(VLOOKUP($C69,Dulieutho,ChiTiet!AK$2,FALSE),""))/80,0)</f>
        <v>11.25</v>
      </c>
      <c r="M69" s="36">
        <f t="shared" si="20"/>
        <v>1842</v>
      </c>
      <c r="N69" s="38">
        <f t="shared" si="21"/>
        <v>780</v>
      </c>
      <c r="O69" s="46">
        <f t="shared" si="22"/>
        <v>9.75</v>
      </c>
      <c r="P69" s="39">
        <f t="shared" si="23"/>
        <v>780</v>
      </c>
      <c r="Q69" s="40">
        <f t="shared" si="24"/>
        <v>100</v>
      </c>
      <c r="R69" s="36">
        <f t="shared" si="25"/>
        <v>1842</v>
      </c>
      <c r="S69" s="36">
        <f t="shared" si="26"/>
        <v>1842</v>
      </c>
      <c r="T69" s="36">
        <f t="shared" si="27"/>
        <v>1842</v>
      </c>
      <c r="U69" s="36">
        <f t="shared" si="28"/>
        <v>1842</v>
      </c>
      <c r="V69" s="40">
        <f t="shared" si="29"/>
        <v>1586</v>
      </c>
      <c r="W69" s="40">
        <f t="shared" si="30"/>
        <v>100</v>
      </c>
      <c r="X69" s="40">
        <f t="shared" si="31"/>
        <v>156</v>
      </c>
    </row>
    <row r="70" spans="2:24" ht="15.6">
      <c r="B70" s="10" t="s">
        <v>219</v>
      </c>
      <c r="C70" s="9" t="s">
        <v>231</v>
      </c>
      <c r="D70" s="11" t="s">
        <v>232</v>
      </c>
      <c r="E70" s="35">
        <f>_xlfn.IFNA(VLOOKUP($C70,Dulieutho,ChiTiet!F$2,FALSE),"")</f>
        <v>968</v>
      </c>
      <c r="F70" s="35">
        <f>_xlfn.IFNA(VLOOKUP($C70,Dulieutho,ChiTiet!G$2,FALSE),"")</f>
        <v>236</v>
      </c>
      <c r="G70" s="35">
        <f>_xlfn.IFNA(VLOOKUP($C70,Dulieutho,ChiTiet!H$2,FALSE),"")</f>
        <v>260</v>
      </c>
      <c r="H70" s="35">
        <f>_xlfn.IFNA(VLOOKUP($C70,Dulieutho,ChiTiet!I$2,FALSE),"")</f>
        <v>312</v>
      </c>
      <c r="I70" s="45">
        <f t="shared" si="18"/>
        <v>1228</v>
      </c>
      <c r="J70" s="36">
        <f t="shared" si="19"/>
        <v>7320</v>
      </c>
      <c r="K70" s="36">
        <f t="shared" si="17"/>
        <v>6920</v>
      </c>
      <c r="L70" s="37">
        <f>IFERROR((_xlfn.IFNA(VLOOKUP($C70,Dulieutho,ChiTiet!K$2,FALSE),"")+_xlfn.IFNA(VLOOKUP($C70,Dulieutho,ChiTiet!AK$2,FALSE),""))/80,0)</f>
        <v>11.625</v>
      </c>
      <c r="M70" s="36">
        <f t="shared" si="20"/>
        <v>1620</v>
      </c>
      <c r="N70" s="38">
        <f t="shared" si="21"/>
        <v>780</v>
      </c>
      <c r="O70" s="46">
        <f t="shared" si="22"/>
        <v>9.75</v>
      </c>
      <c r="P70" s="39">
        <f t="shared" si="23"/>
        <v>780</v>
      </c>
      <c r="Q70" s="40">
        <f t="shared" si="24"/>
        <v>236</v>
      </c>
      <c r="R70" s="36">
        <f t="shared" si="25"/>
        <v>1620</v>
      </c>
      <c r="S70" s="36">
        <f t="shared" si="26"/>
        <v>1620</v>
      </c>
      <c r="T70" s="36">
        <f t="shared" si="27"/>
        <v>1620</v>
      </c>
      <c r="U70" s="36">
        <f t="shared" si="28"/>
        <v>1620</v>
      </c>
      <c r="V70" s="40">
        <f t="shared" si="29"/>
        <v>1228</v>
      </c>
      <c r="W70" s="40">
        <f t="shared" si="30"/>
        <v>236</v>
      </c>
      <c r="X70" s="40">
        <f t="shared" si="31"/>
        <v>156</v>
      </c>
    </row>
    <row r="71" spans="2:24" ht="15.6">
      <c r="B71" s="14" t="s">
        <v>219</v>
      </c>
      <c r="C71" s="13" t="s">
        <v>233</v>
      </c>
      <c r="D71" s="15" t="s">
        <v>234</v>
      </c>
      <c r="E71" s="35">
        <f>_xlfn.IFNA(VLOOKUP($C71,Dulieutho,ChiTiet!F$2,FALSE),"")</f>
        <v>728</v>
      </c>
      <c r="F71" s="35">
        <f>_xlfn.IFNA(VLOOKUP($C71,Dulieutho,ChiTiet!G$2,FALSE),"")</f>
        <v>76</v>
      </c>
      <c r="G71" s="35">
        <f>_xlfn.IFNA(VLOOKUP($C71,Dulieutho,ChiTiet!H$2,FALSE),"")</f>
        <v>270</v>
      </c>
      <c r="H71" s="35">
        <f>_xlfn.IFNA(VLOOKUP($C71,Dulieutho,ChiTiet!I$2,FALSE),"")</f>
        <v>192</v>
      </c>
      <c r="I71" s="45">
        <f t="shared" si="18"/>
        <v>998</v>
      </c>
      <c r="J71" s="36">
        <f t="shared" si="19"/>
        <v>5370</v>
      </c>
      <c r="K71" s="36">
        <f t="shared" si="17"/>
        <v>5470</v>
      </c>
      <c r="L71" s="37">
        <f>IFERROR((_xlfn.IFNA(VLOOKUP($C71,Dulieutho,ChiTiet!K$2,FALSE),"")+_xlfn.IFNA(VLOOKUP($C71,Dulieutho,ChiTiet!AK$2,FALSE),""))/80,0)</f>
        <v>9.75</v>
      </c>
      <c r="M71" s="36">
        <f t="shared" si="20"/>
        <v>1170</v>
      </c>
      <c r="N71" s="38">
        <f t="shared" si="21"/>
        <v>480</v>
      </c>
      <c r="O71" s="46">
        <f t="shared" si="22"/>
        <v>6</v>
      </c>
      <c r="P71" s="39">
        <f t="shared" si="23"/>
        <v>480</v>
      </c>
      <c r="Q71" s="40">
        <f t="shared" si="24"/>
        <v>76</v>
      </c>
      <c r="R71" s="36">
        <f t="shared" si="25"/>
        <v>1170</v>
      </c>
      <c r="S71" s="36">
        <f t="shared" si="26"/>
        <v>1170</v>
      </c>
      <c r="T71" s="36">
        <f t="shared" si="27"/>
        <v>1170</v>
      </c>
      <c r="U71" s="36">
        <f t="shared" si="28"/>
        <v>1170</v>
      </c>
      <c r="V71" s="40">
        <f t="shared" si="29"/>
        <v>998</v>
      </c>
      <c r="W71" s="40">
        <f t="shared" si="30"/>
        <v>76</v>
      </c>
      <c r="X71" s="40">
        <f t="shared" si="31"/>
        <v>96</v>
      </c>
    </row>
    <row r="72" spans="2:24" ht="15.6">
      <c r="B72" s="10" t="s">
        <v>219</v>
      </c>
      <c r="C72" s="9" t="s">
        <v>235</v>
      </c>
      <c r="D72" s="11" t="s">
        <v>236</v>
      </c>
      <c r="E72" s="35">
        <f>_xlfn.IFNA(VLOOKUP($C72,Dulieutho,ChiTiet!F$2,FALSE),"")</f>
        <v>528</v>
      </c>
      <c r="F72" s="35">
        <f>_xlfn.IFNA(VLOOKUP($C72,Dulieutho,ChiTiet!G$2,FALSE),"")</f>
        <v>236</v>
      </c>
      <c r="G72" s="35">
        <f>_xlfn.IFNA(VLOOKUP($C72,Dulieutho,ChiTiet!H$2,FALSE),"")</f>
        <v>180</v>
      </c>
      <c r="H72" s="35">
        <f>_xlfn.IFNA(VLOOKUP($C72,Dulieutho,ChiTiet!I$2,FALSE),"")</f>
        <v>192</v>
      </c>
      <c r="I72" s="45">
        <f t="shared" si="18"/>
        <v>708</v>
      </c>
      <c r="J72" s="36">
        <f t="shared" si="19"/>
        <v>4720</v>
      </c>
      <c r="K72" s="36">
        <f t="shared" si="17"/>
        <v>4020</v>
      </c>
      <c r="L72" s="37">
        <f>IFERROR((_xlfn.IFNA(VLOOKUP($C72,Dulieutho,ChiTiet!K$2,FALSE),"")+_xlfn.IFNA(VLOOKUP($C72,Dulieutho,ChiTiet!AK$2,FALSE),""))/80,0)</f>
        <v>3.75</v>
      </c>
      <c r="M72" s="36">
        <f t="shared" si="20"/>
        <v>1040</v>
      </c>
      <c r="N72" s="38">
        <f t="shared" si="21"/>
        <v>480</v>
      </c>
      <c r="O72" s="46">
        <f t="shared" si="22"/>
        <v>6</v>
      </c>
      <c r="P72" s="39">
        <f t="shared" si="23"/>
        <v>480</v>
      </c>
      <c r="Q72" s="40">
        <f t="shared" si="24"/>
        <v>236</v>
      </c>
      <c r="R72" s="36">
        <f t="shared" si="25"/>
        <v>1040</v>
      </c>
      <c r="S72" s="36">
        <f t="shared" si="26"/>
        <v>1040</v>
      </c>
      <c r="T72" s="36">
        <f t="shared" si="27"/>
        <v>1040</v>
      </c>
      <c r="U72" s="36">
        <f t="shared" si="28"/>
        <v>1040</v>
      </c>
      <c r="V72" s="40">
        <f t="shared" si="29"/>
        <v>708</v>
      </c>
      <c r="W72" s="40">
        <f t="shared" si="30"/>
        <v>236</v>
      </c>
      <c r="X72" s="40">
        <f t="shared" si="31"/>
        <v>96</v>
      </c>
    </row>
    <row r="73" spans="2:24" ht="15.6">
      <c r="B73" s="10" t="s">
        <v>219</v>
      </c>
      <c r="C73" s="9" t="s">
        <v>237</v>
      </c>
      <c r="D73" s="11" t="s">
        <v>238</v>
      </c>
      <c r="E73" s="35">
        <f>_xlfn.IFNA(VLOOKUP($C73,Dulieutho,ChiTiet!F$2,FALSE),"")</f>
        <v>1040</v>
      </c>
      <c r="F73" s="35">
        <f>_xlfn.IFNA(VLOOKUP($C73,Dulieutho,ChiTiet!G$2,FALSE),"")</f>
        <v>132</v>
      </c>
      <c r="G73" s="35">
        <f>_xlfn.IFNA(VLOOKUP($C73,Dulieutho,ChiTiet!H$2,FALSE),"")</f>
        <v>270</v>
      </c>
      <c r="H73" s="35">
        <f>_xlfn.IFNA(VLOOKUP($C73,Dulieutho,ChiTiet!I$2,FALSE),"")</f>
        <v>312</v>
      </c>
      <c r="I73" s="45">
        <f t="shared" si="18"/>
        <v>1310</v>
      </c>
      <c r="J73" s="36">
        <f t="shared" si="19"/>
        <v>7210</v>
      </c>
      <c r="K73" s="36">
        <f t="shared" si="17"/>
        <v>7330</v>
      </c>
      <c r="L73" s="37">
        <f>IFERROR((_xlfn.IFNA(VLOOKUP($C73,Dulieutho,ChiTiet!K$2,FALSE),"")+_xlfn.IFNA(VLOOKUP($C73,Dulieutho,ChiTiet!AK$2,FALSE),""))/80,0)</f>
        <v>11.25</v>
      </c>
      <c r="M73" s="36">
        <f t="shared" si="20"/>
        <v>1598</v>
      </c>
      <c r="N73" s="38">
        <f t="shared" si="21"/>
        <v>780</v>
      </c>
      <c r="O73" s="46">
        <f t="shared" si="22"/>
        <v>9.75</v>
      </c>
      <c r="P73" s="39">
        <f t="shared" si="23"/>
        <v>780</v>
      </c>
      <c r="Q73" s="40">
        <f t="shared" si="24"/>
        <v>132</v>
      </c>
      <c r="R73" s="36">
        <f t="shared" si="25"/>
        <v>1598</v>
      </c>
      <c r="S73" s="36">
        <f t="shared" si="26"/>
        <v>1598</v>
      </c>
      <c r="T73" s="36">
        <f t="shared" si="27"/>
        <v>1598</v>
      </c>
      <c r="U73" s="36">
        <f t="shared" si="28"/>
        <v>1598</v>
      </c>
      <c r="V73" s="40">
        <f t="shared" si="29"/>
        <v>1310</v>
      </c>
      <c r="W73" s="40">
        <f t="shared" si="30"/>
        <v>132</v>
      </c>
      <c r="X73" s="40">
        <f t="shared" si="31"/>
        <v>156</v>
      </c>
    </row>
    <row r="74" spans="2:24" ht="15.6">
      <c r="B74" s="10" t="s">
        <v>219</v>
      </c>
      <c r="C74" s="9" t="s">
        <v>239</v>
      </c>
      <c r="D74" s="11" t="s">
        <v>240</v>
      </c>
      <c r="E74" s="35">
        <f>_xlfn.IFNA(VLOOKUP($C74,Dulieutho,ChiTiet!F$2,FALSE),"")</f>
        <v>1480</v>
      </c>
      <c r="F74" s="35">
        <f>_xlfn.IFNA(VLOOKUP($C74,Dulieutho,ChiTiet!G$2,FALSE),"")</f>
        <v>176</v>
      </c>
      <c r="G74" s="35">
        <f>_xlfn.IFNA(VLOOKUP($C74,Dulieutho,ChiTiet!H$2,FALSE),"")</f>
        <v>340</v>
      </c>
      <c r="H74" s="35">
        <f>_xlfn.IFNA(VLOOKUP($C74,Dulieutho,ChiTiet!I$2,FALSE),"")</f>
        <v>480</v>
      </c>
      <c r="I74" s="45">
        <f t="shared" si="18"/>
        <v>1820</v>
      </c>
      <c r="J74" s="36">
        <f t="shared" si="19"/>
        <v>9980</v>
      </c>
      <c r="K74" s="36">
        <f t="shared" si="17"/>
        <v>10300</v>
      </c>
      <c r="L74" s="37">
        <f>IFERROR((_xlfn.IFNA(VLOOKUP($C74,Dulieutho,ChiTiet!K$2,FALSE),"")+_xlfn.IFNA(VLOOKUP($C74,Dulieutho,ChiTiet!AK$2,FALSE),""))/80,0)</f>
        <v>17.25</v>
      </c>
      <c r="M74" s="36">
        <f t="shared" si="20"/>
        <v>2236</v>
      </c>
      <c r="N74" s="38">
        <f t="shared" si="21"/>
        <v>1200</v>
      </c>
      <c r="O74" s="46">
        <f t="shared" si="22"/>
        <v>15</v>
      </c>
      <c r="P74" s="39">
        <f t="shared" si="23"/>
        <v>1200</v>
      </c>
      <c r="Q74" s="40">
        <f t="shared" si="24"/>
        <v>176</v>
      </c>
      <c r="R74" s="36">
        <f t="shared" si="25"/>
        <v>2236</v>
      </c>
      <c r="S74" s="36">
        <f t="shared" si="26"/>
        <v>2236</v>
      </c>
      <c r="T74" s="36">
        <f t="shared" si="27"/>
        <v>2236</v>
      </c>
      <c r="U74" s="36">
        <f t="shared" si="28"/>
        <v>2236</v>
      </c>
      <c r="V74" s="40">
        <f t="shared" si="29"/>
        <v>1820</v>
      </c>
      <c r="W74" s="40">
        <f t="shared" si="30"/>
        <v>176</v>
      </c>
      <c r="X74" s="40">
        <f t="shared" si="31"/>
        <v>240</v>
      </c>
    </row>
    <row r="75" spans="2:24" ht="15.6">
      <c r="B75" s="10" t="s">
        <v>219</v>
      </c>
      <c r="C75" s="9" t="s">
        <v>241</v>
      </c>
      <c r="D75" s="11" t="s">
        <v>242</v>
      </c>
      <c r="E75" s="35">
        <f>_xlfn.IFNA(VLOOKUP($C75,Dulieutho,ChiTiet!F$2,FALSE),"")</f>
        <v>1456</v>
      </c>
      <c r="F75" s="35">
        <f>_xlfn.IFNA(VLOOKUP($C75,Dulieutho,ChiTiet!G$2,FALSE),"")</f>
        <v>164</v>
      </c>
      <c r="G75" s="35">
        <f>_xlfn.IFNA(VLOOKUP($C75,Dulieutho,ChiTiet!H$2,FALSE),"")</f>
        <v>430</v>
      </c>
      <c r="H75" s="35">
        <f>_xlfn.IFNA(VLOOKUP($C75,Dulieutho,ChiTiet!I$2,FALSE),"")</f>
        <v>312</v>
      </c>
      <c r="I75" s="45">
        <f t="shared" si="18"/>
        <v>1886</v>
      </c>
      <c r="J75" s="36">
        <f t="shared" si="19"/>
        <v>10250</v>
      </c>
      <c r="K75" s="36">
        <f t="shared" si="17"/>
        <v>10210</v>
      </c>
      <c r="L75" s="37">
        <f>IFERROR((_xlfn.IFNA(VLOOKUP($C75,Dulieutho,ChiTiet!K$2,FALSE),"")+_xlfn.IFNA(VLOOKUP($C75,Dulieutho,ChiTiet!AK$2,FALSE),""))/80,0)</f>
        <v>15.375</v>
      </c>
      <c r="M75" s="36">
        <f t="shared" si="20"/>
        <v>2206</v>
      </c>
      <c r="N75" s="38">
        <f t="shared" si="21"/>
        <v>780</v>
      </c>
      <c r="O75" s="46">
        <f t="shared" si="22"/>
        <v>9.75</v>
      </c>
      <c r="P75" s="39">
        <f t="shared" si="23"/>
        <v>780</v>
      </c>
      <c r="Q75" s="40">
        <f t="shared" si="24"/>
        <v>164</v>
      </c>
      <c r="R75" s="36">
        <f t="shared" si="25"/>
        <v>2206</v>
      </c>
      <c r="S75" s="36">
        <f t="shared" si="26"/>
        <v>2206</v>
      </c>
      <c r="T75" s="36">
        <f t="shared" si="27"/>
        <v>2206</v>
      </c>
      <c r="U75" s="36">
        <f t="shared" si="28"/>
        <v>2206</v>
      </c>
      <c r="V75" s="40">
        <f t="shared" si="29"/>
        <v>1886</v>
      </c>
      <c r="W75" s="40">
        <f t="shared" si="30"/>
        <v>164</v>
      </c>
      <c r="X75" s="40">
        <f t="shared" si="31"/>
        <v>156</v>
      </c>
    </row>
    <row r="76" spans="2:24" ht="15.6">
      <c r="B76" s="10" t="s">
        <v>219</v>
      </c>
      <c r="C76" s="9" t="s">
        <v>243</v>
      </c>
      <c r="D76" s="11" t="s">
        <v>244</v>
      </c>
      <c r="E76" s="35">
        <f>_xlfn.IFNA(VLOOKUP($C76,Dulieutho,ChiTiet!F$2,FALSE),"")</f>
        <v>1204</v>
      </c>
      <c r="F76" s="35">
        <f>_xlfn.IFNA(VLOOKUP($C76,Dulieutho,ChiTiet!G$2,FALSE),"")</f>
        <v>132</v>
      </c>
      <c r="G76" s="35">
        <f>_xlfn.IFNA(VLOOKUP($C76,Dulieutho,ChiTiet!H$2,FALSE),"")</f>
        <v>310</v>
      </c>
      <c r="H76" s="35">
        <f>_xlfn.IFNA(VLOOKUP($C76,Dulieutho,ChiTiet!I$2,FALSE),"")</f>
        <v>168</v>
      </c>
      <c r="I76" s="45">
        <f t="shared" si="18"/>
        <v>1514</v>
      </c>
      <c r="J76" s="36">
        <f t="shared" si="19"/>
        <v>8230</v>
      </c>
      <c r="K76" s="36">
        <f t="shared" si="17"/>
        <v>7990</v>
      </c>
      <c r="L76" s="37">
        <f>IFERROR((_xlfn.IFNA(VLOOKUP($C76,Dulieutho,ChiTiet!K$2,FALSE),"")+_xlfn.IFNA(VLOOKUP($C76,Dulieutho,ChiTiet!AK$2,FALSE),""))/80,0)</f>
        <v>11.625</v>
      </c>
      <c r="M76" s="36">
        <f t="shared" si="20"/>
        <v>1730</v>
      </c>
      <c r="N76" s="38">
        <f t="shared" si="21"/>
        <v>420</v>
      </c>
      <c r="O76" s="46">
        <f t="shared" si="22"/>
        <v>5.25</v>
      </c>
      <c r="P76" s="39">
        <f t="shared" si="23"/>
        <v>420</v>
      </c>
      <c r="Q76" s="40">
        <f t="shared" si="24"/>
        <v>132</v>
      </c>
      <c r="R76" s="36">
        <f t="shared" si="25"/>
        <v>1730</v>
      </c>
      <c r="S76" s="36">
        <f t="shared" si="26"/>
        <v>1730</v>
      </c>
      <c r="T76" s="36">
        <f t="shared" si="27"/>
        <v>1730</v>
      </c>
      <c r="U76" s="36">
        <f t="shared" si="28"/>
        <v>1730</v>
      </c>
      <c r="V76" s="40">
        <f t="shared" si="29"/>
        <v>1514</v>
      </c>
      <c r="W76" s="40">
        <f t="shared" si="30"/>
        <v>132</v>
      </c>
      <c r="X76" s="40">
        <f t="shared" si="31"/>
        <v>84</v>
      </c>
    </row>
    <row r="77" spans="2:24" ht="15.6">
      <c r="B77" s="10" t="s">
        <v>219</v>
      </c>
      <c r="C77" s="9" t="s">
        <v>245</v>
      </c>
      <c r="D77" s="11" t="s">
        <v>246</v>
      </c>
      <c r="E77" s="35">
        <f>_xlfn.IFNA(VLOOKUP($C77,Dulieutho,ChiTiet!F$2,FALSE),"")</f>
        <v>264</v>
      </c>
      <c r="F77" s="35">
        <f>_xlfn.IFNA(VLOOKUP($C77,Dulieutho,ChiTiet!G$2,FALSE),"")</f>
        <v>52</v>
      </c>
      <c r="G77" s="35">
        <f>_xlfn.IFNA(VLOOKUP($C77,Dulieutho,ChiTiet!H$2,FALSE),"")</f>
        <v>110</v>
      </c>
      <c r="H77" s="35">
        <f>_xlfn.IFNA(VLOOKUP($C77,Dulieutho,ChiTiet!I$2,FALSE),"")</f>
        <v>96</v>
      </c>
      <c r="I77" s="45">
        <f t="shared" si="18"/>
        <v>374</v>
      </c>
      <c r="J77" s="36">
        <f t="shared" si="19"/>
        <v>2130</v>
      </c>
      <c r="K77" s="36">
        <f t="shared" si="17"/>
        <v>2110</v>
      </c>
      <c r="L77" s="37">
        <f>IFERROR((_xlfn.IFNA(VLOOKUP($C77,Dulieutho,ChiTiet!K$2,FALSE),"")+_xlfn.IFNA(VLOOKUP($C77,Dulieutho,ChiTiet!AK$2,FALSE),""))/80,0)</f>
        <v>0.75</v>
      </c>
      <c r="M77" s="36">
        <f t="shared" si="20"/>
        <v>474</v>
      </c>
      <c r="N77" s="38">
        <f t="shared" si="21"/>
        <v>240</v>
      </c>
      <c r="O77" s="46">
        <f t="shared" si="22"/>
        <v>3</v>
      </c>
      <c r="P77" s="39">
        <f t="shared" si="23"/>
        <v>240</v>
      </c>
      <c r="Q77" s="40">
        <f t="shared" si="24"/>
        <v>52</v>
      </c>
      <c r="R77" s="36">
        <f t="shared" si="25"/>
        <v>474</v>
      </c>
      <c r="S77" s="36">
        <f t="shared" si="26"/>
        <v>474</v>
      </c>
      <c r="T77" s="36">
        <f t="shared" si="27"/>
        <v>474</v>
      </c>
      <c r="U77" s="36">
        <f t="shared" si="28"/>
        <v>474</v>
      </c>
      <c r="V77" s="40">
        <f t="shared" si="29"/>
        <v>374</v>
      </c>
      <c r="W77" s="40">
        <f t="shared" si="30"/>
        <v>52</v>
      </c>
      <c r="X77" s="40">
        <f t="shared" si="31"/>
        <v>48</v>
      </c>
    </row>
    <row r="78" spans="2:24" ht="15.6">
      <c r="B78" s="10" t="s">
        <v>219</v>
      </c>
      <c r="C78" s="9" t="s">
        <v>247</v>
      </c>
      <c r="D78" s="11" t="s">
        <v>248</v>
      </c>
      <c r="E78" s="35">
        <f>_xlfn.IFNA(VLOOKUP($C78,Dulieutho,ChiTiet!F$2,FALSE),"")</f>
        <v>748</v>
      </c>
      <c r="F78" s="35">
        <f>_xlfn.IFNA(VLOOKUP($C78,Dulieutho,ChiTiet!G$2,FALSE),"")</f>
        <v>192</v>
      </c>
      <c r="G78" s="35">
        <f>_xlfn.IFNA(VLOOKUP($C78,Dulieutho,ChiTiet!H$2,FALSE),"")</f>
        <v>210</v>
      </c>
      <c r="H78" s="35">
        <f>_xlfn.IFNA(VLOOKUP($C78,Dulieutho,ChiTiet!I$2,FALSE),"")</f>
        <v>192</v>
      </c>
      <c r="I78" s="45">
        <f t="shared" si="18"/>
        <v>958</v>
      </c>
      <c r="J78" s="36">
        <f t="shared" si="19"/>
        <v>5750</v>
      </c>
      <c r="K78" s="36">
        <f t="shared" si="17"/>
        <v>5270</v>
      </c>
      <c r="L78" s="37">
        <f>IFERROR((_xlfn.IFNA(VLOOKUP($C78,Dulieutho,ChiTiet!K$2,FALSE),"")+_xlfn.IFNA(VLOOKUP($C78,Dulieutho,ChiTiet!AK$2,FALSE),""))/80,0)</f>
        <v>8.625</v>
      </c>
      <c r="M78" s="36">
        <f t="shared" si="20"/>
        <v>1246</v>
      </c>
      <c r="N78" s="38">
        <f t="shared" si="21"/>
        <v>480</v>
      </c>
      <c r="O78" s="46">
        <f t="shared" si="22"/>
        <v>6</v>
      </c>
      <c r="P78" s="39">
        <f t="shared" si="23"/>
        <v>480</v>
      </c>
      <c r="Q78" s="40">
        <f t="shared" si="24"/>
        <v>192</v>
      </c>
      <c r="R78" s="36">
        <f t="shared" si="25"/>
        <v>1246</v>
      </c>
      <c r="S78" s="36">
        <f t="shared" si="26"/>
        <v>1246</v>
      </c>
      <c r="T78" s="36">
        <f t="shared" si="27"/>
        <v>1246</v>
      </c>
      <c r="U78" s="36">
        <f t="shared" si="28"/>
        <v>1246</v>
      </c>
      <c r="V78" s="40">
        <f t="shared" si="29"/>
        <v>958</v>
      </c>
      <c r="W78" s="40">
        <f t="shared" si="30"/>
        <v>192</v>
      </c>
      <c r="X78" s="40">
        <f t="shared" si="31"/>
        <v>96</v>
      </c>
    </row>
    <row r="79" spans="2:24" ht="15.6">
      <c r="B79" s="10" t="s">
        <v>219</v>
      </c>
      <c r="C79" s="9" t="s">
        <v>249</v>
      </c>
      <c r="D79" s="11" t="s">
        <v>250</v>
      </c>
      <c r="E79" s="35">
        <f>_xlfn.IFNA(VLOOKUP($C79,Dulieutho,ChiTiet!F$2,FALSE),"")</f>
        <v>564</v>
      </c>
      <c r="F79" s="35">
        <f>_xlfn.IFNA(VLOOKUP($C79,Dulieutho,ChiTiet!G$2,FALSE),"")</f>
        <v>68</v>
      </c>
      <c r="G79" s="35">
        <f>_xlfn.IFNA(VLOOKUP($C79,Dulieutho,ChiTiet!H$2,FALSE),"")</f>
        <v>90</v>
      </c>
      <c r="H79" s="35">
        <f>_xlfn.IFNA(VLOOKUP($C79,Dulieutho,ChiTiet!I$2,FALSE),"")</f>
        <v>120</v>
      </c>
      <c r="I79" s="45">
        <f t="shared" si="18"/>
        <v>654</v>
      </c>
      <c r="J79" s="36">
        <f t="shared" si="19"/>
        <v>3610</v>
      </c>
      <c r="K79" s="36">
        <f t="shared" si="17"/>
        <v>3570</v>
      </c>
      <c r="L79" s="37">
        <f>IFERROR((_xlfn.IFNA(VLOOKUP($C79,Dulieutho,ChiTiet!K$2,FALSE),"")+_xlfn.IFNA(VLOOKUP($C79,Dulieutho,ChiTiet!AK$2,FALSE),""))/80,0)</f>
        <v>6.75</v>
      </c>
      <c r="M79" s="36">
        <f t="shared" si="20"/>
        <v>782</v>
      </c>
      <c r="N79" s="38">
        <f t="shared" si="21"/>
        <v>300</v>
      </c>
      <c r="O79" s="46">
        <f t="shared" si="22"/>
        <v>3.75</v>
      </c>
      <c r="P79" s="39">
        <f t="shared" si="23"/>
        <v>300</v>
      </c>
      <c r="Q79" s="40">
        <f t="shared" si="24"/>
        <v>68</v>
      </c>
      <c r="R79" s="36">
        <f t="shared" si="25"/>
        <v>782</v>
      </c>
      <c r="S79" s="36">
        <f t="shared" si="26"/>
        <v>782</v>
      </c>
      <c r="T79" s="36">
        <f t="shared" si="27"/>
        <v>782</v>
      </c>
      <c r="U79" s="36">
        <f t="shared" si="28"/>
        <v>782</v>
      </c>
      <c r="V79" s="40">
        <f t="shared" si="29"/>
        <v>654</v>
      </c>
      <c r="W79" s="40">
        <f t="shared" si="30"/>
        <v>68</v>
      </c>
      <c r="X79" s="40">
        <f t="shared" si="31"/>
        <v>60</v>
      </c>
    </row>
    <row r="80" spans="2:24" ht="15.6">
      <c r="B80" s="10" t="s">
        <v>219</v>
      </c>
      <c r="C80" s="9" t="s">
        <v>251</v>
      </c>
      <c r="D80" s="11" t="s">
        <v>252</v>
      </c>
      <c r="E80" s="35">
        <f>_xlfn.IFNA(VLOOKUP($C80,Dulieutho,ChiTiet!F$2,FALSE),"")</f>
        <v>2652</v>
      </c>
      <c r="F80" s="35">
        <f>_xlfn.IFNA(VLOOKUP($C80,Dulieutho,ChiTiet!G$2,FALSE),"")</f>
        <v>404</v>
      </c>
      <c r="G80" s="35">
        <f>_xlfn.IFNA(VLOOKUP($C80,Dulieutho,ChiTiet!H$2,FALSE),"")</f>
        <v>400</v>
      </c>
      <c r="H80" s="35">
        <f>_xlfn.IFNA(VLOOKUP($C80,Dulieutho,ChiTiet!I$2,FALSE),"")</f>
        <v>624</v>
      </c>
      <c r="I80" s="45">
        <f t="shared" si="18"/>
        <v>3052</v>
      </c>
      <c r="J80" s="36">
        <f t="shared" si="19"/>
        <v>17280</v>
      </c>
      <c r="K80" s="36">
        <f t="shared" si="17"/>
        <v>16820</v>
      </c>
      <c r="L80" s="37">
        <f>IFERROR((_xlfn.IFNA(VLOOKUP($C80,Dulieutho,ChiTiet!K$2,FALSE),"")+_xlfn.IFNA(VLOOKUP($C80,Dulieutho,ChiTiet!AK$2,FALSE),""))/80,0)</f>
        <v>21</v>
      </c>
      <c r="M80" s="36">
        <f t="shared" si="20"/>
        <v>3768</v>
      </c>
      <c r="N80" s="38">
        <f t="shared" si="21"/>
        <v>1560</v>
      </c>
      <c r="O80" s="46">
        <f t="shared" si="22"/>
        <v>19.5</v>
      </c>
      <c r="P80" s="39">
        <f t="shared" si="23"/>
        <v>1560</v>
      </c>
      <c r="Q80" s="40">
        <f t="shared" si="24"/>
        <v>404</v>
      </c>
      <c r="R80" s="36">
        <f t="shared" si="25"/>
        <v>3768</v>
      </c>
      <c r="S80" s="36">
        <f t="shared" si="26"/>
        <v>3768</v>
      </c>
      <c r="T80" s="36">
        <f t="shared" si="27"/>
        <v>3768</v>
      </c>
      <c r="U80" s="36">
        <f t="shared" si="28"/>
        <v>3768</v>
      </c>
      <c r="V80" s="40">
        <f t="shared" si="29"/>
        <v>3052</v>
      </c>
      <c r="W80" s="40">
        <f t="shared" si="30"/>
        <v>404</v>
      </c>
      <c r="X80" s="40">
        <f t="shared" si="31"/>
        <v>312</v>
      </c>
    </row>
    <row r="81" spans="2:24" ht="15.6">
      <c r="B81" s="10" t="s">
        <v>219</v>
      </c>
      <c r="C81" s="9" t="s">
        <v>253</v>
      </c>
      <c r="D81" s="11" t="s">
        <v>254</v>
      </c>
      <c r="E81" s="35">
        <f>_xlfn.IFNA(VLOOKUP($C81,Dulieutho,ChiTiet!F$2,FALSE),"")</f>
        <v>1656</v>
      </c>
      <c r="F81" s="35">
        <f>_xlfn.IFNA(VLOOKUP($C81,Dulieutho,ChiTiet!G$2,FALSE),"")</f>
        <v>324</v>
      </c>
      <c r="G81" s="35">
        <f>_xlfn.IFNA(VLOOKUP($C81,Dulieutho,ChiTiet!H$2,FALSE),"")</f>
        <v>180</v>
      </c>
      <c r="H81" s="35">
        <f>_xlfn.IFNA(VLOOKUP($C81,Dulieutho,ChiTiet!I$2,FALSE),"")</f>
        <v>120</v>
      </c>
      <c r="I81" s="45">
        <f t="shared" si="18"/>
        <v>1836</v>
      </c>
      <c r="J81" s="36">
        <f t="shared" si="19"/>
        <v>10800</v>
      </c>
      <c r="K81" s="36">
        <f t="shared" si="17"/>
        <v>9480</v>
      </c>
      <c r="L81" s="37">
        <f>IFERROR((_xlfn.IFNA(VLOOKUP($C81,Dulieutho,ChiTiet!K$2,FALSE),"")+_xlfn.IFNA(VLOOKUP($C81,Dulieutho,ChiTiet!AK$2,FALSE),""))/80,0)</f>
        <v>16.875</v>
      </c>
      <c r="M81" s="36">
        <f t="shared" si="20"/>
        <v>2220</v>
      </c>
      <c r="N81" s="38">
        <f t="shared" si="21"/>
        <v>300</v>
      </c>
      <c r="O81" s="46">
        <f t="shared" si="22"/>
        <v>3.75</v>
      </c>
      <c r="P81" s="39">
        <f t="shared" si="23"/>
        <v>300</v>
      </c>
      <c r="Q81" s="40">
        <f t="shared" si="24"/>
        <v>324</v>
      </c>
      <c r="R81" s="36">
        <f t="shared" si="25"/>
        <v>2220</v>
      </c>
      <c r="S81" s="36">
        <f t="shared" si="26"/>
        <v>2220</v>
      </c>
      <c r="T81" s="36">
        <f t="shared" si="27"/>
        <v>2220</v>
      </c>
      <c r="U81" s="36">
        <f t="shared" si="28"/>
        <v>2220</v>
      </c>
      <c r="V81" s="40">
        <f t="shared" si="29"/>
        <v>1836</v>
      </c>
      <c r="W81" s="40">
        <f t="shared" si="30"/>
        <v>324</v>
      </c>
      <c r="X81" s="40">
        <f t="shared" si="31"/>
        <v>60</v>
      </c>
    </row>
    <row r="82" spans="2:24" ht="15.6">
      <c r="B82" s="10" t="s">
        <v>219</v>
      </c>
      <c r="C82" s="9" t="s">
        <v>255</v>
      </c>
      <c r="D82" s="11" t="s">
        <v>256</v>
      </c>
      <c r="E82" s="35">
        <f>_xlfn.IFNA(VLOOKUP($C82,Dulieutho,ChiTiet!F$2,FALSE),"")</f>
        <v>1144</v>
      </c>
      <c r="F82" s="35">
        <f>_xlfn.IFNA(VLOOKUP($C82,Dulieutho,ChiTiet!G$2,FALSE),"")</f>
        <v>172</v>
      </c>
      <c r="G82" s="35">
        <f>_xlfn.IFNA(VLOOKUP($C82,Dulieutho,ChiTiet!H$2,FALSE),"")</f>
        <v>320</v>
      </c>
      <c r="H82" s="35">
        <f>_xlfn.IFNA(VLOOKUP($C82,Dulieutho,ChiTiet!I$2,FALSE),"")</f>
        <v>312</v>
      </c>
      <c r="I82" s="45">
        <f t="shared" si="18"/>
        <v>1464</v>
      </c>
      <c r="J82" s="36">
        <f t="shared" si="19"/>
        <v>8180</v>
      </c>
      <c r="K82" s="36">
        <f t="shared" si="17"/>
        <v>8100</v>
      </c>
      <c r="L82" s="37">
        <f>IFERROR((_xlfn.IFNA(VLOOKUP($C82,Dulieutho,ChiTiet!K$2,FALSE),"")+_xlfn.IFNA(VLOOKUP($C82,Dulieutho,ChiTiet!AK$2,FALSE),""))/80,0)</f>
        <v>7.875</v>
      </c>
      <c r="M82" s="36">
        <f t="shared" si="20"/>
        <v>1792</v>
      </c>
      <c r="N82" s="38">
        <f t="shared" si="21"/>
        <v>780</v>
      </c>
      <c r="O82" s="46">
        <f t="shared" si="22"/>
        <v>9.75</v>
      </c>
      <c r="P82" s="39">
        <f t="shared" si="23"/>
        <v>780</v>
      </c>
      <c r="Q82" s="40">
        <f t="shared" si="24"/>
        <v>172</v>
      </c>
      <c r="R82" s="36">
        <f t="shared" si="25"/>
        <v>1792</v>
      </c>
      <c r="S82" s="36">
        <f t="shared" si="26"/>
        <v>1792</v>
      </c>
      <c r="T82" s="36">
        <f t="shared" si="27"/>
        <v>1792</v>
      </c>
      <c r="U82" s="36">
        <f t="shared" si="28"/>
        <v>1792</v>
      </c>
      <c r="V82" s="40">
        <f t="shared" si="29"/>
        <v>1464</v>
      </c>
      <c r="W82" s="40">
        <f t="shared" si="30"/>
        <v>172</v>
      </c>
      <c r="X82" s="40">
        <f t="shared" si="31"/>
        <v>156</v>
      </c>
    </row>
    <row r="83" spans="2:24" ht="15.6">
      <c r="B83" s="10" t="s">
        <v>219</v>
      </c>
      <c r="C83" s="9" t="s">
        <v>257</v>
      </c>
      <c r="D83" s="11" t="s">
        <v>258</v>
      </c>
      <c r="E83" s="35">
        <f>_xlfn.IFNA(VLOOKUP($C83,Dulieutho,ChiTiet!F$2,FALSE),"")</f>
        <v>612</v>
      </c>
      <c r="F83" s="35">
        <f>_xlfn.IFNA(VLOOKUP($C83,Dulieutho,ChiTiet!G$2,FALSE),"")</f>
        <v>88</v>
      </c>
      <c r="G83" s="35">
        <f>_xlfn.IFNA(VLOOKUP($C83,Dulieutho,ChiTiet!H$2,FALSE),"")</f>
        <v>210</v>
      </c>
      <c r="H83" s="35">
        <f>_xlfn.IFNA(VLOOKUP($C83,Dulieutho,ChiTiet!I$2,FALSE),"")</f>
        <v>96</v>
      </c>
      <c r="I83" s="45">
        <f t="shared" si="18"/>
        <v>822</v>
      </c>
      <c r="J83" s="36">
        <f t="shared" si="19"/>
        <v>4550</v>
      </c>
      <c r="K83" s="36">
        <f t="shared" si="17"/>
        <v>4350</v>
      </c>
      <c r="L83" s="37">
        <f>IFERROR((_xlfn.IFNA(VLOOKUP($C83,Dulieutho,ChiTiet!K$2,FALSE),"")+_xlfn.IFNA(VLOOKUP($C83,Dulieutho,ChiTiet!AK$2,FALSE),""))/80,0)</f>
        <v>1.125</v>
      </c>
      <c r="M83" s="36">
        <f t="shared" si="20"/>
        <v>958</v>
      </c>
      <c r="N83" s="38">
        <f t="shared" si="21"/>
        <v>240</v>
      </c>
      <c r="O83" s="46">
        <f t="shared" si="22"/>
        <v>3</v>
      </c>
      <c r="P83" s="39">
        <f t="shared" si="23"/>
        <v>240</v>
      </c>
      <c r="Q83" s="40">
        <f t="shared" si="24"/>
        <v>88</v>
      </c>
      <c r="R83" s="36">
        <f t="shared" si="25"/>
        <v>958</v>
      </c>
      <c r="S83" s="36">
        <f t="shared" si="26"/>
        <v>958</v>
      </c>
      <c r="T83" s="36">
        <f t="shared" si="27"/>
        <v>958</v>
      </c>
      <c r="U83" s="36">
        <f t="shared" si="28"/>
        <v>958</v>
      </c>
      <c r="V83" s="40">
        <f t="shared" si="29"/>
        <v>822</v>
      </c>
      <c r="W83" s="40">
        <f t="shared" si="30"/>
        <v>88</v>
      </c>
      <c r="X83" s="40">
        <f t="shared" si="31"/>
        <v>48</v>
      </c>
    </row>
    <row r="84" spans="2:24" ht="15.6">
      <c r="B84" s="10" t="s">
        <v>219</v>
      </c>
      <c r="C84" s="9" t="s">
        <v>259</v>
      </c>
      <c r="D84" s="11" t="s">
        <v>260</v>
      </c>
      <c r="E84" s="35">
        <f>_xlfn.IFNA(VLOOKUP($C84,Dulieutho,ChiTiet!F$2,FALSE),"")</f>
        <v>1140</v>
      </c>
      <c r="F84" s="35">
        <f>_xlfn.IFNA(VLOOKUP($C84,Dulieutho,ChiTiet!G$2,FALSE),"")</f>
        <v>228</v>
      </c>
      <c r="G84" s="35">
        <f>_xlfn.IFNA(VLOOKUP($C84,Dulieutho,ChiTiet!H$2,FALSE),"")</f>
        <v>270</v>
      </c>
      <c r="H84" s="35">
        <f>_xlfn.IFNA(VLOOKUP($C84,Dulieutho,ChiTiet!I$2,FALSE),"")</f>
        <v>336</v>
      </c>
      <c r="I84" s="45">
        <f t="shared" si="18"/>
        <v>1410</v>
      </c>
      <c r="J84" s="36">
        <f t="shared" si="19"/>
        <v>8190</v>
      </c>
      <c r="K84" s="36">
        <f t="shared" si="17"/>
        <v>7890</v>
      </c>
      <c r="L84" s="37">
        <f>IFERROR((_xlfn.IFNA(VLOOKUP($C84,Dulieutho,ChiTiet!K$2,FALSE),"")+_xlfn.IFNA(VLOOKUP($C84,Dulieutho,ChiTiet!AK$2,FALSE),""))/80,0)</f>
        <v>12</v>
      </c>
      <c r="M84" s="36">
        <f t="shared" si="20"/>
        <v>1806</v>
      </c>
      <c r="N84" s="38">
        <f t="shared" si="21"/>
        <v>840</v>
      </c>
      <c r="O84" s="46">
        <f t="shared" si="22"/>
        <v>10.5</v>
      </c>
      <c r="P84" s="39">
        <f t="shared" si="23"/>
        <v>840</v>
      </c>
      <c r="Q84" s="40">
        <f t="shared" si="24"/>
        <v>228</v>
      </c>
      <c r="R84" s="36">
        <f t="shared" si="25"/>
        <v>1806</v>
      </c>
      <c r="S84" s="36">
        <f t="shared" si="26"/>
        <v>1806</v>
      </c>
      <c r="T84" s="36">
        <f t="shared" si="27"/>
        <v>1806</v>
      </c>
      <c r="U84" s="36">
        <f t="shared" si="28"/>
        <v>1806</v>
      </c>
      <c r="V84" s="40">
        <f t="shared" si="29"/>
        <v>1410</v>
      </c>
      <c r="W84" s="40">
        <f t="shared" si="30"/>
        <v>228</v>
      </c>
      <c r="X84" s="40">
        <f t="shared" si="31"/>
        <v>168</v>
      </c>
    </row>
    <row r="85" spans="2:24" ht="15.6">
      <c r="B85" s="14" t="s">
        <v>219</v>
      </c>
      <c r="C85" s="13" t="s">
        <v>261</v>
      </c>
      <c r="D85" s="15" t="s">
        <v>262</v>
      </c>
      <c r="E85" s="35">
        <f>_xlfn.IFNA(VLOOKUP($C85,Dulieutho,ChiTiet!F$2,FALSE),"")</f>
        <v>384</v>
      </c>
      <c r="F85" s="35">
        <f>_xlfn.IFNA(VLOOKUP($C85,Dulieutho,ChiTiet!G$2,FALSE),"")</f>
        <v>60</v>
      </c>
      <c r="G85" s="35">
        <f>_xlfn.IFNA(VLOOKUP($C85,Dulieutho,ChiTiet!H$2,FALSE),"")</f>
        <v>140</v>
      </c>
      <c r="H85" s="35">
        <f>_xlfn.IFNA(VLOOKUP($C85,Dulieutho,ChiTiet!I$2,FALSE),"")</f>
        <v>96</v>
      </c>
      <c r="I85" s="45">
        <f t="shared" si="18"/>
        <v>524</v>
      </c>
      <c r="J85" s="36">
        <f t="shared" si="19"/>
        <v>2920</v>
      </c>
      <c r="K85" s="36">
        <f t="shared" si="17"/>
        <v>2860</v>
      </c>
      <c r="L85" s="37">
        <f>IFERROR((_xlfn.IFNA(VLOOKUP($C85,Dulieutho,ChiTiet!K$2,FALSE),"")+_xlfn.IFNA(VLOOKUP($C85,Dulieutho,ChiTiet!AK$2,FALSE),""))/80,0)</f>
        <v>4.125</v>
      </c>
      <c r="M85" s="36">
        <f t="shared" si="20"/>
        <v>632</v>
      </c>
      <c r="N85" s="38">
        <f t="shared" si="21"/>
        <v>240</v>
      </c>
      <c r="O85" s="46">
        <f t="shared" si="22"/>
        <v>3</v>
      </c>
      <c r="P85" s="39">
        <f t="shared" si="23"/>
        <v>240</v>
      </c>
      <c r="Q85" s="40">
        <f t="shared" si="24"/>
        <v>60</v>
      </c>
      <c r="R85" s="36">
        <f t="shared" si="25"/>
        <v>632</v>
      </c>
      <c r="S85" s="36">
        <f t="shared" si="26"/>
        <v>632</v>
      </c>
      <c r="T85" s="36">
        <f t="shared" si="27"/>
        <v>632</v>
      </c>
      <c r="U85" s="36">
        <f t="shared" si="28"/>
        <v>632</v>
      </c>
      <c r="V85" s="40">
        <f t="shared" si="29"/>
        <v>524</v>
      </c>
      <c r="W85" s="40">
        <f t="shared" si="30"/>
        <v>60</v>
      </c>
      <c r="X85" s="40">
        <f t="shared" si="31"/>
        <v>48</v>
      </c>
    </row>
    <row r="86" spans="2:24" ht="15.6">
      <c r="B86" s="10" t="s">
        <v>219</v>
      </c>
      <c r="C86" s="9" t="s">
        <v>263</v>
      </c>
      <c r="D86" s="11" t="s">
        <v>264</v>
      </c>
      <c r="E86" s="35">
        <f>_xlfn.IFNA(VLOOKUP($C86,Dulieutho,ChiTiet!F$2,FALSE),"")</f>
        <v>1052</v>
      </c>
      <c r="F86" s="35">
        <f>_xlfn.IFNA(VLOOKUP($C86,Dulieutho,ChiTiet!G$2,FALSE),"")</f>
        <v>192</v>
      </c>
      <c r="G86" s="35">
        <f>_xlfn.IFNA(VLOOKUP($C86,Dulieutho,ChiTiet!H$2,FALSE),"")</f>
        <v>150</v>
      </c>
      <c r="H86" s="35">
        <f>_xlfn.IFNA(VLOOKUP($C86,Dulieutho,ChiTiet!I$2,FALSE),"")</f>
        <v>0</v>
      </c>
      <c r="I86" s="45">
        <f t="shared" si="18"/>
        <v>1202</v>
      </c>
      <c r="J86" s="36">
        <f t="shared" si="19"/>
        <v>6970</v>
      </c>
      <c r="K86" s="36">
        <f t="shared" si="17"/>
        <v>6010</v>
      </c>
      <c r="L86" s="37">
        <f>IFERROR((_xlfn.IFNA(VLOOKUP($C86,Dulieutho,ChiTiet!K$2,FALSE),"")+_xlfn.IFNA(VLOOKUP($C86,Dulieutho,ChiTiet!AK$2,FALSE),""))/80,0)</f>
        <v>8.25</v>
      </c>
      <c r="M86" s="36">
        <f t="shared" si="20"/>
        <v>1394</v>
      </c>
      <c r="N86" s="38">
        <f t="shared" si="21"/>
        <v>0</v>
      </c>
      <c r="O86" s="46">
        <f t="shared" si="22"/>
        <v>0</v>
      </c>
      <c r="P86" s="39">
        <f t="shared" si="23"/>
        <v>0</v>
      </c>
      <c r="Q86" s="40">
        <f t="shared" si="24"/>
        <v>192</v>
      </c>
      <c r="R86" s="36">
        <f t="shared" si="25"/>
        <v>1394</v>
      </c>
      <c r="S86" s="36">
        <f t="shared" si="26"/>
        <v>1394</v>
      </c>
      <c r="T86" s="36">
        <f t="shared" si="27"/>
        <v>1394</v>
      </c>
      <c r="U86" s="36">
        <f t="shared" si="28"/>
        <v>1394</v>
      </c>
      <c r="V86" s="40">
        <f t="shared" si="29"/>
        <v>1202</v>
      </c>
      <c r="W86" s="40">
        <f t="shared" si="30"/>
        <v>192</v>
      </c>
      <c r="X86" s="40">
        <f t="shared" si="31"/>
        <v>0</v>
      </c>
    </row>
    <row r="87" spans="2:24" ht="15.6">
      <c r="B87" s="10" t="s">
        <v>219</v>
      </c>
      <c r="C87" s="9" t="s">
        <v>265</v>
      </c>
      <c r="D87" s="11" t="s">
        <v>266</v>
      </c>
      <c r="E87" s="35">
        <f>_xlfn.IFNA(VLOOKUP($C87,Dulieutho,ChiTiet!F$2,FALSE),"")</f>
        <v>680</v>
      </c>
      <c r="F87" s="35">
        <f>_xlfn.IFNA(VLOOKUP($C87,Dulieutho,ChiTiet!G$2,FALSE),"")</f>
        <v>60</v>
      </c>
      <c r="G87" s="35">
        <f>_xlfn.IFNA(VLOOKUP($C87,Dulieutho,ChiTiet!H$2,FALSE),"")</f>
        <v>320</v>
      </c>
      <c r="H87" s="35">
        <f>_xlfn.IFNA(VLOOKUP($C87,Dulieutho,ChiTiet!I$2,FALSE),"")</f>
        <v>168</v>
      </c>
      <c r="I87" s="45">
        <f t="shared" si="18"/>
        <v>1000</v>
      </c>
      <c r="J87" s="36">
        <f t="shared" si="19"/>
        <v>5300</v>
      </c>
      <c r="K87" s="36">
        <f t="shared" si="17"/>
        <v>5420</v>
      </c>
      <c r="L87" s="37">
        <f>IFERROR((_xlfn.IFNA(VLOOKUP($C87,Dulieutho,ChiTiet!K$2,FALSE),"")+_xlfn.IFNA(VLOOKUP($C87,Dulieutho,ChiTiet!AK$2,FALSE),""))/80,0)</f>
        <v>7.875</v>
      </c>
      <c r="M87" s="36">
        <f t="shared" si="20"/>
        <v>1144</v>
      </c>
      <c r="N87" s="38">
        <f t="shared" si="21"/>
        <v>420</v>
      </c>
      <c r="O87" s="46">
        <f t="shared" si="22"/>
        <v>5.25</v>
      </c>
      <c r="P87" s="39">
        <f t="shared" si="23"/>
        <v>420</v>
      </c>
      <c r="Q87" s="40">
        <f t="shared" si="24"/>
        <v>60</v>
      </c>
      <c r="R87" s="36">
        <f t="shared" si="25"/>
        <v>1144</v>
      </c>
      <c r="S87" s="36">
        <f t="shared" si="26"/>
        <v>1144</v>
      </c>
      <c r="T87" s="36">
        <f t="shared" si="27"/>
        <v>1144</v>
      </c>
      <c r="U87" s="36">
        <f t="shared" si="28"/>
        <v>1144</v>
      </c>
      <c r="V87" s="40">
        <f t="shared" si="29"/>
        <v>1000</v>
      </c>
      <c r="W87" s="40">
        <f t="shared" si="30"/>
        <v>60</v>
      </c>
      <c r="X87" s="40">
        <f t="shared" si="31"/>
        <v>84</v>
      </c>
    </row>
    <row r="88" spans="2:24" ht="15.6">
      <c r="B88" s="10" t="s">
        <v>219</v>
      </c>
      <c r="C88" s="9" t="s">
        <v>267</v>
      </c>
      <c r="D88" s="11" t="s">
        <v>268</v>
      </c>
      <c r="E88" s="35">
        <f>_xlfn.IFNA(VLOOKUP($C88,Dulieutho,ChiTiet!F$2,FALSE),"")</f>
        <v>736</v>
      </c>
      <c r="F88" s="35">
        <f>_xlfn.IFNA(VLOOKUP($C88,Dulieutho,ChiTiet!G$2,FALSE),"")</f>
        <v>96</v>
      </c>
      <c r="G88" s="35">
        <f>_xlfn.IFNA(VLOOKUP($C88,Dulieutho,ChiTiet!H$2,FALSE),"")</f>
        <v>110</v>
      </c>
      <c r="H88" s="35">
        <f>_xlfn.IFNA(VLOOKUP($C88,Dulieutho,ChiTiet!I$2,FALSE),"")</f>
        <v>120</v>
      </c>
      <c r="I88" s="45">
        <f t="shared" si="18"/>
        <v>846</v>
      </c>
      <c r="J88" s="36">
        <f t="shared" si="19"/>
        <v>4710</v>
      </c>
      <c r="K88" s="36">
        <f t="shared" si="17"/>
        <v>4530</v>
      </c>
      <c r="L88" s="37">
        <f>IFERROR((_xlfn.IFNA(VLOOKUP($C88,Dulieutho,ChiTiet!K$2,FALSE),"")+_xlfn.IFNA(VLOOKUP($C88,Dulieutho,ChiTiet!AK$2,FALSE),""))/80,0)</f>
        <v>7.5</v>
      </c>
      <c r="M88" s="36">
        <f t="shared" si="20"/>
        <v>1002</v>
      </c>
      <c r="N88" s="38">
        <f t="shared" si="21"/>
        <v>300</v>
      </c>
      <c r="O88" s="46">
        <f t="shared" si="22"/>
        <v>3.75</v>
      </c>
      <c r="P88" s="39">
        <f t="shared" si="23"/>
        <v>300</v>
      </c>
      <c r="Q88" s="40">
        <f t="shared" si="24"/>
        <v>96</v>
      </c>
      <c r="R88" s="36">
        <f t="shared" si="25"/>
        <v>1002</v>
      </c>
      <c r="S88" s="36">
        <f t="shared" si="26"/>
        <v>1002</v>
      </c>
      <c r="T88" s="36">
        <f t="shared" si="27"/>
        <v>1002</v>
      </c>
      <c r="U88" s="36">
        <f t="shared" si="28"/>
        <v>1002</v>
      </c>
      <c r="V88" s="40">
        <f t="shared" si="29"/>
        <v>846</v>
      </c>
      <c r="W88" s="40">
        <f t="shared" si="30"/>
        <v>96</v>
      </c>
      <c r="X88" s="40">
        <f t="shared" si="31"/>
        <v>60</v>
      </c>
    </row>
    <row r="89" spans="2:24" ht="15.6">
      <c r="B89" s="10" t="s">
        <v>219</v>
      </c>
      <c r="C89" s="9" t="s">
        <v>269</v>
      </c>
      <c r="D89" s="11" t="s">
        <v>270</v>
      </c>
      <c r="E89" s="35">
        <f>_xlfn.IFNA(VLOOKUP($C89,Dulieutho,ChiTiet!F$2,FALSE),"")</f>
        <v>488</v>
      </c>
      <c r="F89" s="35">
        <f>_xlfn.IFNA(VLOOKUP($C89,Dulieutho,ChiTiet!G$2,FALSE),"")</f>
        <v>128</v>
      </c>
      <c r="G89" s="35">
        <f>_xlfn.IFNA(VLOOKUP($C89,Dulieutho,ChiTiet!H$2,FALSE),"")</f>
        <v>120</v>
      </c>
      <c r="H89" s="35">
        <f>_xlfn.IFNA(VLOOKUP($C89,Dulieutho,ChiTiet!I$2,FALSE),"")</f>
        <v>144</v>
      </c>
      <c r="I89" s="45">
        <f t="shared" si="18"/>
        <v>608</v>
      </c>
      <c r="J89" s="36">
        <f t="shared" si="19"/>
        <v>3680</v>
      </c>
      <c r="K89" s="36">
        <f t="shared" si="17"/>
        <v>3400</v>
      </c>
      <c r="L89" s="37">
        <f>IFERROR((_xlfn.IFNA(VLOOKUP($C89,Dulieutho,ChiTiet!K$2,FALSE),"")+_xlfn.IFNA(VLOOKUP($C89,Dulieutho,ChiTiet!AK$2,FALSE),""))/80,0)</f>
        <v>6</v>
      </c>
      <c r="M89" s="36">
        <f t="shared" si="20"/>
        <v>808</v>
      </c>
      <c r="N89" s="38">
        <f t="shared" si="21"/>
        <v>360</v>
      </c>
      <c r="O89" s="46">
        <f t="shared" si="22"/>
        <v>4.5</v>
      </c>
      <c r="P89" s="39">
        <f t="shared" si="23"/>
        <v>360</v>
      </c>
      <c r="Q89" s="40">
        <f t="shared" si="24"/>
        <v>128</v>
      </c>
      <c r="R89" s="36">
        <f t="shared" si="25"/>
        <v>808</v>
      </c>
      <c r="S89" s="36">
        <f t="shared" si="26"/>
        <v>808</v>
      </c>
      <c r="T89" s="36">
        <f t="shared" si="27"/>
        <v>808</v>
      </c>
      <c r="U89" s="36">
        <f t="shared" si="28"/>
        <v>808</v>
      </c>
      <c r="V89" s="40">
        <f t="shared" si="29"/>
        <v>608</v>
      </c>
      <c r="W89" s="40">
        <f t="shared" si="30"/>
        <v>128</v>
      </c>
      <c r="X89" s="40">
        <f t="shared" si="31"/>
        <v>72</v>
      </c>
    </row>
    <row r="90" spans="2:24" ht="15.6">
      <c r="B90" s="10" t="s">
        <v>219</v>
      </c>
      <c r="C90" s="9" t="s">
        <v>271</v>
      </c>
      <c r="D90" s="11" t="s">
        <v>272</v>
      </c>
      <c r="E90" s="35">
        <f>_xlfn.IFNA(VLOOKUP($C90,Dulieutho,ChiTiet!F$2,FALSE),"")</f>
        <v>872</v>
      </c>
      <c r="F90" s="35">
        <f>_xlfn.IFNA(VLOOKUP($C90,Dulieutho,ChiTiet!G$2,FALSE),"")</f>
        <v>132</v>
      </c>
      <c r="G90" s="35">
        <f>_xlfn.IFNA(VLOOKUP($C90,Dulieutho,ChiTiet!H$2,FALSE),"")</f>
        <v>180</v>
      </c>
      <c r="H90" s="35">
        <f>_xlfn.IFNA(VLOOKUP($C90,Dulieutho,ChiTiet!I$2,FALSE),"")</f>
        <v>168</v>
      </c>
      <c r="I90" s="45">
        <f t="shared" si="18"/>
        <v>1052</v>
      </c>
      <c r="J90" s="36">
        <f t="shared" si="19"/>
        <v>5920</v>
      </c>
      <c r="K90" s="36">
        <f t="shared" si="17"/>
        <v>5680</v>
      </c>
      <c r="L90" s="37">
        <f>IFERROR((_xlfn.IFNA(VLOOKUP($C90,Dulieutho,ChiTiet!K$2,FALSE),"")+_xlfn.IFNA(VLOOKUP($C90,Dulieutho,ChiTiet!AK$2,FALSE),""))/80,0)</f>
        <v>6.75</v>
      </c>
      <c r="M90" s="36">
        <f t="shared" si="20"/>
        <v>1268</v>
      </c>
      <c r="N90" s="38">
        <f t="shared" si="21"/>
        <v>420</v>
      </c>
      <c r="O90" s="46">
        <f t="shared" si="22"/>
        <v>5.25</v>
      </c>
      <c r="P90" s="39">
        <f t="shared" si="23"/>
        <v>420</v>
      </c>
      <c r="Q90" s="40">
        <f t="shared" si="24"/>
        <v>132</v>
      </c>
      <c r="R90" s="36">
        <f t="shared" si="25"/>
        <v>1268</v>
      </c>
      <c r="S90" s="36">
        <f t="shared" si="26"/>
        <v>1268</v>
      </c>
      <c r="T90" s="36">
        <f t="shared" si="27"/>
        <v>1268</v>
      </c>
      <c r="U90" s="36">
        <f t="shared" si="28"/>
        <v>1268</v>
      </c>
      <c r="V90" s="40">
        <f t="shared" si="29"/>
        <v>1052</v>
      </c>
      <c r="W90" s="40">
        <f t="shared" si="30"/>
        <v>132</v>
      </c>
      <c r="X90" s="40">
        <f t="shared" si="31"/>
        <v>84</v>
      </c>
    </row>
    <row r="91" spans="2:24" ht="15.6">
      <c r="B91" s="10" t="s">
        <v>219</v>
      </c>
      <c r="C91" s="9" t="s">
        <v>273</v>
      </c>
      <c r="D91" s="11" t="s">
        <v>274</v>
      </c>
      <c r="E91" s="35">
        <f>_xlfn.IFNA(VLOOKUP($C91,Dulieutho,ChiTiet!F$2,FALSE),"")</f>
        <v>1668</v>
      </c>
      <c r="F91" s="35">
        <f>_xlfn.IFNA(VLOOKUP($C91,Dulieutho,ChiTiet!G$2,FALSE),"")</f>
        <v>220</v>
      </c>
      <c r="G91" s="35">
        <f>_xlfn.IFNA(VLOOKUP($C91,Dulieutho,ChiTiet!H$2,FALSE),"")</f>
        <v>280</v>
      </c>
      <c r="H91" s="35">
        <f>_xlfn.IFNA(VLOOKUP($C91,Dulieutho,ChiTiet!I$2,FALSE),"")</f>
        <v>192</v>
      </c>
      <c r="I91" s="45">
        <f t="shared" si="18"/>
        <v>1948</v>
      </c>
      <c r="J91" s="36">
        <f t="shared" si="19"/>
        <v>10840</v>
      </c>
      <c r="K91" s="36">
        <f t="shared" si="17"/>
        <v>10220</v>
      </c>
      <c r="L91" s="37">
        <f>IFERROR((_xlfn.IFNA(VLOOKUP($C91,Dulieutho,ChiTiet!K$2,FALSE),"")+_xlfn.IFNA(VLOOKUP($C91,Dulieutho,ChiTiet!AK$2,FALSE),""))/80,0)</f>
        <v>10.5</v>
      </c>
      <c r="M91" s="36">
        <f t="shared" si="20"/>
        <v>2264</v>
      </c>
      <c r="N91" s="38">
        <f t="shared" si="21"/>
        <v>480</v>
      </c>
      <c r="O91" s="46">
        <f t="shared" si="22"/>
        <v>6</v>
      </c>
      <c r="P91" s="39">
        <f t="shared" si="23"/>
        <v>480</v>
      </c>
      <c r="Q91" s="40">
        <f t="shared" si="24"/>
        <v>220</v>
      </c>
      <c r="R91" s="36">
        <f t="shared" si="25"/>
        <v>2264</v>
      </c>
      <c r="S91" s="36">
        <f t="shared" si="26"/>
        <v>2264</v>
      </c>
      <c r="T91" s="36">
        <f t="shared" si="27"/>
        <v>2264</v>
      </c>
      <c r="U91" s="36">
        <f t="shared" si="28"/>
        <v>2264</v>
      </c>
      <c r="V91" s="40">
        <f t="shared" si="29"/>
        <v>1948</v>
      </c>
      <c r="W91" s="40">
        <f t="shared" si="30"/>
        <v>220</v>
      </c>
      <c r="X91" s="40">
        <f t="shared" si="31"/>
        <v>96</v>
      </c>
    </row>
    <row r="92" spans="2:24" ht="15.6">
      <c r="B92" s="10" t="s">
        <v>219</v>
      </c>
      <c r="C92" s="9" t="s">
        <v>275</v>
      </c>
      <c r="D92" s="11" t="s">
        <v>276</v>
      </c>
      <c r="E92" s="35">
        <f>_xlfn.IFNA(VLOOKUP($C92,Dulieutho,ChiTiet!F$2,FALSE),"")</f>
        <v>792</v>
      </c>
      <c r="F92" s="35">
        <f>_xlfn.IFNA(VLOOKUP($C92,Dulieutho,ChiTiet!G$2,FALSE),"")</f>
        <v>72</v>
      </c>
      <c r="G92" s="35">
        <f>_xlfn.IFNA(VLOOKUP($C92,Dulieutho,ChiTiet!H$2,FALSE),"")</f>
        <v>270</v>
      </c>
      <c r="H92" s="35">
        <f>_xlfn.IFNA(VLOOKUP($C92,Dulieutho,ChiTiet!I$2,FALSE),"")</f>
        <v>240</v>
      </c>
      <c r="I92" s="45">
        <f t="shared" si="18"/>
        <v>1062</v>
      </c>
      <c r="J92" s="36">
        <f t="shared" si="19"/>
        <v>5670</v>
      </c>
      <c r="K92" s="36">
        <f t="shared" si="17"/>
        <v>5910</v>
      </c>
      <c r="L92" s="37">
        <f>IFERROR((_xlfn.IFNA(VLOOKUP($C92,Dulieutho,ChiTiet!K$2,FALSE),"")+_xlfn.IFNA(VLOOKUP($C92,Dulieutho,ChiTiet!AK$2,FALSE),""))/80,0)</f>
        <v>7.5</v>
      </c>
      <c r="M92" s="36">
        <f t="shared" si="20"/>
        <v>1254</v>
      </c>
      <c r="N92" s="38">
        <f t="shared" si="21"/>
        <v>600</v>
      </c>
      <c r="O92" s="46">
        <f t="shared" si="22"/>
        <v>7.5</v>
      </c>
      <c r="P92" s="39">
        <f t="shared" si="23"/>
        <v>600</v>
      </c>
      <c r="Q92" s="40">
        <f t="shared" si="24"/>
        <v>72</v>
      </c>
      <c r="R92" s="36">
        <f t="shared" si="25"/>
        <v>1254</v>
      </c>
      <c r="S92" s="36">
        <f t="shared" si="26"/>
        <v>1254</v>
      </c>
      <c r="T92" s="36">
        <f t="shared" si="27"/>
        <v>1254</v>
      </c>
      <c r="U92" s="36">
        <f t="shared" si="28"/>
        <v>1254</v>
      </c>
      <c r="V92" s="40">
        <f t="shared" si="29"/>
        <v>1062</v>
      </c>
      <c r="W92" s="40">
        <f t="shared" si="30"/>
        <v>72</v>
      </c>
      <c r="X92" s="40">
        <f t="shared" si="31"/>
        <v>120</v>
      </c>
    </row>
    <row r="93" spans="2:24" ht="15.6">
      <c r="B93" s="10" t="s">
        <v>219</v>
      </c>
      <c r="C93" s="9" t="s">
        <v>277</v>
      </c>
      <c r="D93" s="11" t="s">
        <v>278</v>
      </c>
      <c r="E93" s="35">
        <f>_xlfn.IFNA(VLOOKUP($C93,Dulieutho,ChiTiet!F$2,FALSE),"")</f>
        <v>820</v>
      </c>
      <c r="F93" s="35">
        <f>_xlfn.IFNA(VLOOKUP($C93,Dulieutho,ChiTiet!G$2,FALSE),"")</f>
        <v>84</v>
      </c>
      <c r="G93" s="35">
        <f>_xlfn.IFNA(VLOOKUP($C93,Dulieutho,ChiTiet!H$2,FALSE),"")</f>
        <v>140</v>
      </c>
      <c r="H93" s="35">
        <f>_xlfn.IFNA(VLOOKUP($C93,Dulieutho,ChiTiet!I$2,FALSE),"")</f>
        <v>96</v>
      </c>
      <c r="I93" s="45">
        <f t="shared" si="18"/>
        <v>960</v>
      </c>
      <c r="J93" s="36">
        <f t="shared" si="19"/>
        <v>5220</v>
      </c>
      <c r="K93" s="36">
        <f t="shared" si="17"/>
        <v>5040</v>
      </c>
      <c r="L93" s="37">
        <f>IFERROR((_xlfn.IFNA(VLOOKUP($C93,Dulieutho,ChiTiet!K$2,FALSE),"")+_xlfn.IFNA(VLOOKUP($C93,Dulieutho,ChiTiet!AK$2,FALSE),""))/80,0)</f>
        <v>9.375</v>
      </c>
      <c r="M93" s="36">
        <f t="shared" si="20"/>
        <v>1092</v>
      </c>
      <c r="N93" s="38">
        <f t="shared" si="21"/>
        <v>240</v>
      </c>
      <c r="O93" s="46">
        <f t="shared" si="22"/>
        <v>3</v>
      </c>
      <c r="P93" s="39">
        <f t="shared" si="23"/>
        <v>240</v>
      </c>
      <c r="Q93" s="40">
        <f t="shared" si="24"/>
        <v>84</v>
      </c>
      <c r="R93" s="36">
        <f t="shared" si="25"/>
        <v>1092</v>
      </c>
      <c r="S93" s="36">
        <f t="shared" si="26"/>
        <v>1092</v>
      </c>
      <c r="T93" s="36">
        <f t="shared" si="27"/>
        <v>1092</v>
      </c>
      <c r="U93" s="36">
        <f t="shared" si="28"/>
        <v>1092</v>
      </c>
      <c r="V93" s="40">
        <f t="shared" si="29"/>
        <v>960</v>
      </c>
      <c r="W93" s="40">
        <f t="shared" si="30"/>
        <v>84</v>
      </c>
      <c r="X93" s="40">
        <f t="shared" si="31"/>
        <v>48</v>
      </c>
    </row>
    <row r="94" spans="2:24" ht="15.6">
      <c r="B94" s="10" t="s">
        <v>219</v>
      </c>
      <c r="C94" s="9" t="s">
        <v>279</v>
      </c>
      <c r="D94" s="11" t="s">
        <v>280</v>
      </c>
      <c r="E94" s="35">
        <f>_xlfn.IFNA(VLOOKUP($C94,Dulieutho,ChiTiet!F$2,FALSE),"")</f>
        <v>456</v>
      </c>
      <c r="F94" s="35">
        <f>_xlfn.IFNA(VLOOKUP($C94,Dulieutho,ChiTiet!G$2,FALSE),"")</f>
        <v>100</v>
      </c>
      <c r="G94" s="35">
        <f>_xlfn.IFNA(VLOOKUP($C94,Dulieutho,ChiTiet!H$2,FALSE),"")</f>
        <v>100</v>
      </c>
      <c r="H94" s="35">
        <f>_xlfn.IFNA(VLOOKUP($C94,Dulieutho,ChiTiet!I$2,FALSE),"")</f>
        <v>216</v>
      </c>
      <c r="I94" s="45">
        <f t="shared" si="18"/>
        <v>556</v>
      </c>
      <c r="J94" s="36">
        <f t="shared" si="19"/>
        <v>3280</v>
      </c>
      <c r="K94" s="36">
        <f t="shared" si="17"/>
        <v>3320</v>
      </c>
      <c r="L94" s="37">
        <f>IFERROR((_xlfn.IFNA(VLOOKUP($C94,Dulieutho,ChiTiet!K$2,FALSE),"")+_xlfn.IFNA(VLOOKUP($C94,Dulieutho,ChiTiet!AK$2,FALSE),""))/80,0)</f>
        <v>4.875</v>
      </c>
      <c r="M94" s="36">
        <f t="shared" si="20"/>
        <v>764</v>
      </c>
      <c r="N94" s="38">
        <f t="shared" si="21"/>
        <v>540</v>
      </c>
      <c r="O94" s="46">
        <f t="shared" si="22"/>
        <v>6.75</v>
      </c>
      <c r="P94" s="39">
        <f t="shared" si="23"/>
        <v>540</v>
      </c>
      <c r="Q94" s="40">
        <f t="shared" si="24"/>
        <v>100</v>
      </c>
      <c r="R94" s="36">
        <f t="shared" si="25"/>
        <v>764</v>
      </c>
      <c r="S94" s="36">
        <f t="shared" si="26"/>
        <v>764</v>
      </c>
      <c r="T94" s="36">
        <f t="shared" si="27"/>
        <v>764</v>
      </c>
      <c r="U94" s="36">
        <f t="shared" si="28"/>
        <v>764</v>
      </c>
      <c r="V94" s="40">
        <f t="shared" si="29"/>
        <v>556</v>
      </c>
      <c r="W94" s="40">
        <f t="shared" si="30"/>
        <v>100</v>
      </c>
      <c r="X94" s="40">
        <f t="shared" si="31"/>
        <v>108</v>
      </c>
    </row>
    <row r="95" spans="2:24" ht="15.6">
      <c r="B95" s="10" t="s">
        <v>219</v>
      </c>
      <c r="C95" s="12" t="s">
        <v>281</v>
      </c>
      <c r="D95" s="11" t="s">
        <v>282</v>
      </c>
      <c r="E95" s="35">
        <f>_xlfn.IFNA(VLOOKUP($C95,Dulieutho,ChiTiet!F$2,FALSE),"")</f>
        <v>412</v>
      </c>
      <c r="F95" s="35">
        <f>_xlfn.IFNA(VLOOKUP($C95,Dulieutho,ChiTiet!G$2,FALSE),"")</f>
        <v>60</v>
      </c>
      <c r="G95" s="35">
        <f>_xlfn.IFNA(VLOOKUP($C95,Dulieutho,ChiTiet!H$2,FALSE),"")</f>
        <v>170</v>
      </c>
      <c r="H95" s="35">
        <f>_xlfn.IFNA(VLOOKUP($C95,Dulieutho,ChiTiet!I$2,FALSE),"")</f>
        <v>240</v>
      </c>
      <c r="I95" s="45">
        <f t="shared" si="18"/>
        <v>582</v>
      </c>
      <c r="J95" s="36">
        <f t="shared" si="19"/>
        <v>3210</v>
      </c>
      <c r="K95" s="36">
        <f t="shared" si="17"/>
        <v>3510</v>
      </c>
      <c r="L95" s="37">
        <f>IFERROR((_xlfn.IFNA(VLOOKUP($C95,Dulieutho,ChiTiet!K$2,FALSE),"")+_xlfn.IFNA(VLOOKUP($C95,Dulieutho,ChiTiet!AK$2,FALSE),""))/80,0)</f>
        <v>4.125</v>
      </c>
      <c r="M95" s="36">
        <f t="shared" si="20"/>
        <v>762</v>
      </c>
      <c r="N95" s="38">
        <f t="shared" si="21"/>
        <v>600</v>
      </c>
      <c r="O95" s="46">
        <f t="shared" si="22"/>
        <v>7.5</v>
      </c>
      <c r="P95" s="39">
        <f t="shared" si="23"/>
        <v>600</v>
      </c>
      <c r="Q95" s="40">
        <f t="shared" si="24"/>
        <v>60</v>
      </c>
      <c r="R95" s="36">
        <f t="shared" si="25"/>
        <v>762</v>
      </c>
      <c r="S95" s="36">
        <f t="shared" si="26"/>
        <v>762</v>
      </c>
      <c r="T95" s="36">
        <f>S95</f>
        <v>762</v>
      </c>
      <c r="U95" s="36">
        <f t="shared" si="28"/>
        <v>762</v>
      </c>
      <c r="V95" s="40">
        <f t="shared" si="29"/>
        <v>582</v>
      </c>
      <c r="W95" s="40">
        <f t="shared" si="30"/>
        <v>60</v>
      </c>
      <c r="X95" s="40">
        <f t="shared" si="31"/>
        <v>120</v>
      </c>
    </row>
  </sheetData>
  <conditionalFormatting sqref="A1">
    <cfRule type="duplicateValues" dxfId="23" priority="21"/>
  </conditionalFormatting>
  <conditionalFormatting sqref="B1 C2 C4:C95">
    <cfRule type="duplicateValues" dxfId="22" priority="4"/>
  </conditionalFormatting>
  <conditionalFormatting sqref="D1:D2 D4:D95">
    <cfRule type="duplicateValues" dxfId="21" priority="3"/>
  </conditionalFormatting>
  <conditionalFormatting sqref="C3">
    <cfRule type="duplicateValues" dxfId="20" priority="2"/>
  </conditionalFormatting>
  <conditionalFormatting sqref="D3">
    <cfRule type="duplicateValues" dxfId="19" priority="1"/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7"/>
  <sheetViews>
    <sheetView topLeftCell="B1" workbookViewId="0">
      <selection activeCell="G4" sqref="G4"/>
    </sheetView>
  </sheetViews>
  <sheetFormatPr defaultRowHeight="14.4"/>
  <cols>
    <col min="1" max="1" width="0" hidden="1" customWidth="1"/>
    <col min="4" max="4" width="50.33203125" bestFit="1" customWidth="1"/>
    <col min="5" max="8" width="11.6640625" style="41" customWidth="1"/>
    <col min="9" max="9" width="37.21875" style="41" customWidth="1"/>
    <col min="10" max="10" width="21.6640625" style="41" customWidth="1"/>
    <col min="11" max="11" width="11.6640625" style="41" customWidth="1"/>
    <col min="12" max="12" width="21.44140625" style="41" customWidth="1"/>
    <col min="13" max="13" width="18.6640625" style="41" bestFit="1" customWidth="1"/>
    <col min="14" max="14" width="20.44140625" style="41" bestFit="1" customWidth="1"/>
    <col min="15" max="15" width="17.44140625" style="41" bestFit="1" customWidth="1"/>
    <col min="16" max="16" width="17.33203125" style="41" bestFit="1" customWidth="1"/>
    <col min="17" max="20" width="17.33203125" style="41" customWidth="1"/>
    <col min="21" max="21" width="11" style="41" customWidth="1"/>
    <col min="22" max="23" width="11" style="2" customWidth="1"/>
  </cols>
  <sheetData>
    <row r="1" spans="1:23" s="49" customFormat="1" ht="86.4">
      <c r="D1" s="47" t="s">
        <v>361</v>
      </c>
      <c r="E1" s="50" t="s">
        <v>377</v>
      </c>
      <c r="F1" s="50" t="s">
        <v>378</v>
      </c>
      <c r="G1" s="50" t="s">
        <v>370</v>
      </c>
      <c r="H1" s="50"/>
      <c r="I1" s="50" t="s">
        <v>358</v>
      </c>
      <c r="J1" s="50" t="s">
        <v>359</v>
      </c>
      <c r="K1" s="50" t="s">
        <v>360</v>
      </c>
      <c r="L1" s="50" t="s">
        <v>363</v>
      </c>
      <c r="M1" s="50"/>
      <c r="N1" s="50"/>
      <c r="O1" s="50"/>
      <c r="P1" s="50"/>
      <c r="Q1" s="50"/>
      <c r="R1" s="50"/>
      <c r="S1" s="50"/>
      <c r="T1" s="50"/>
      <c r="U1" s="50" t="s">
        <v>379</v>
      </c>
      <c r="V1" s="50" t="s">
        <v>381</v>
      </c>
      <c r="W1" s="50" t="s">
        <v>380</v>
      </c>
    </row>
    <row r="2" spans="1:23" s="49" customFormat="1">
      <c r="D2" s="47" t="s">
        <v>362</v>
      </c>
      <c r="E2" s="50"/>
      <c r="F2" s="50"/>
      <c r="G2" s="50"/>
      <c r="H2" s="50"/>
      <c r="I2" s="52">
        <f>(1/1.1)*12*6</f>
        <v>65.454545454545453</v>
      </c>
      <c r="J2" s="52">
        <f>(1/1.5)*6*8</f>
        <v>32</v>
      </c>
      <c r="K2" s="50"/>
      <c r="L2" s="50">
        <f>1*10*7</f>
        <v>70</v>
      </c>
      <c r="M2" s="50"/>
      <c r="N2" s="50"/>
      <c r="O2" s="50"/>
      <c r="P2" s="50"/>
      <c r="Q2" s="50"/>
      <c r="R2" s="50"/>
      <c r="S2" s="50"/>
      <c r="T2" s="50"/>
      <c r="U2" s="50">
        <v>1100</v>
      </c>
      <c r="V2" s="56">
        <f>200*100/1100</f>
        <v>18.181818181818183</v>
      </c>
      <c r="W2" s="51">
        <v>1100</v>
      </c>
    </row>
    <row r="3" spans="1:23" ht="57.6">
      <c r="A3" s="27" t="s">
        <v>1</v>
      </c>
      <c r="B3" s="28" t="s">
        <v>94</v>
      </c>
      <c r="C3" s="28" t="s">
        <v>95</v>
      </c>
      <c r="D3" s="28" t="s">
        <v>9</v>
      </c>
      <c r="E3" s="21" t="s">
        <v>369</v>
      </c>
      <c r="F3" s="21" t="s">
        <v>366</v>
      </c>
      <c r="G3" s="21" t="s">
        <v>371</v>
      </c>
      <c r="H3" s="21" t="s">
        <v>372</v>
      </c>
      <c r="I3" s="21" t="s">
        <v>364</v>
      </c>
      <c r="J3" s="21" t="s">
        <v>365</v>
      </c>
      <c r="K3" s="21" t="s">
        <v>367</v>
      </c>
      <c r="L3" s="21" t="s">
        <v>368</v>
      </c>
      <c r="M3" s="21" t="s">
        <v>337</v>
      </c>
      <c r="N3" s="21" t="s">
        <v>334</v>
      </c>
      <c r="O3" s="21" t="s">
        <v>335</v>
      </c>
      <c r="P3" s="21" t="s">
        <v>336</v>
      </c>
      <c r="Q3" s="21" t="s">
        <v>373</v>
      </c>
      <c r="R3" s="21" t="s">
        <v>374</v>
      </c>
      <c r="S3" s="21" t="s">
        <v>375</v>
      </c>
      <c r="T3" s="21" t="s">
        <v>376</v>
      </c>
      <c r="U3" s="32" t="s">
        <v>19</v>
      </c>
      <c r="V3" s="32" t="s">
        <v>20</v>
      </c>
      <c r="W3" s="32" t="s">
        <v>23</v>
      </c>
    </row>
    <row r="4" spans="1:23" ht="15.6">
      <c r="B4" s="10" t="s">
        <v>97</v>
      </c>
      <c r="C4" s="9" t="s">
        <v>96</v>
      </c>
      <c r="D4" s="11" t="s">
        <v>98</v>
      </c>
      <c r="E4" s="43">
        <f>_xlfn.IFNA(VLOOKUP($C4,SOP_Banh!$C:$X,17,FALSE),"")</f>
        <v>726</v>
      </c>
      <c r="F4" s="54">
        <f>SUM(I4:L4)</f>
        <v>452</v>
      </c>
      <c r="G4" s="54">
        <f>IFERROR(F4*100/E4,0)</f>
        <v>62.25895316804408</v>
      </c>
      <c r="H4" s="54">
        <f>G4-100</f>
        <v>-37.74104683195592</v>
      </c>
      <c r="I4" s="53">
        <f>_xlfn.IFNA(VLOOKUP($C4,QuyDoi_DonVi!$C:$S,6,FALSE)*$I$2,0)</f>
        <v>0</v>
      </c>
      <c r="J4" s="44">
        <f>_xlfn.IFNA(VLOOKUP($C4,QuyDoi_DonVi!$C:$S,8,FALSE)*$J$2,0)</f>
        <v>128</v>
      </c>
      <c r="K4" s="36">
        <f>_xlfn.IFNA(VLOOKUP($C4,QuyDoi_DonVi!$C:$S,9,FALSE),0)</f>
        <v>324</v>
      </c>
      <c r="L4" s="36">
        <f>_xlfn.IFNA(VLOOKUP($C4,QuyDoi_DonVi!$C:$S,11,FALSE)*$L$2,0)</f>
        <v>0</v>
      </c>
      <c r="M4" s="55">
        <f>IFERROR(I4*100/E4,0)</f>
        <v>0</v>
      </c>
      <c r="N4" s="55">
        <f>IFERROR(J4*100/E4,0)</f>
        <v>17.630853994490359</v>
      </c>
      <c r="O4" s="55">
        <f>IFERROR(K4*100/E4,0)</f>
        <v>44.628099173553721</v>
      </c>
      <c r="P4" s="55">
        <f>IFERROR(L4*100/E4,0)</f>
        <v>0</v>
      </c>
      <c r="Q4" s="55">
        <f>IFERROR(M4*E4/100,0)</f>
        <v>0</v>
      </c>
      <c r="R4" s="55">
        <f>IFERROR(N4*E4/100,0)</f>
        <v>128</v>
      </c>
      <c r="S4" s="55">
        <f>IFERROR(O4*E4/100,0)</f>
        <v>324</v>
      </c>
      <c r="T4" s="55">
        <f>IFERROR(P4*E4/100,0)</f>
        <v>0</v>
      </c>
      <c r="U4" s="36">
        <f>_xlfn.IFNA(VLOOKUP($C4,QuyDoi_DonVi!$C:$S,6,FALSE),0)</f>
        <v>0</v>
      </c>
      <c r="V4" s="57">
        <f>U4*$V$2/100</f>
        <v>0</v>
      </c>
      <c r="W4" s="40">
        <f>U4</f>
        <v>0</v>
      </c>
    </row>
    <row r="5" spans="1:23" ht="15.6">
      <c r="B5" s="10" t="s">
        <v>97</v>
      </c>
      <c r="C5" s="9" t="s">
        <v>499</v>
      </c>
      <c r="D5" s="11" t="s">
        <v>500</v>
      </c>
      <c r="E5" s="43">
        <f>_xlfn.IFNA(VLOOKUP($C5,SOP_Banh!$C:$X,17,FALSE),"")</f>
        <v>0</v>
      </c>
      <c r="F5" s="54">
        <f>SUM(I5:L5)</f>
        <v>0</v>
      </c>
      <c r="G5" s="54">
        <f>IFERROR(F5*100/E5,0)</f>
        <v>0</v>
      </c>
      <c r="H5" s="54">
        <f>G5-100</f>
        <v>-100</v>
      </c>
      <c r="I5" s="53">
        <f>_xlfn.IFNA(VLOOKUP($C5,QuyDoi_DonVi!$C:$S,6,FALSE)*$I$2,0)</f>
        <v>0</v>
      </c>
      <c r="J5" s="44">
        <f>_xlfn.IFNA(VLOOKUP($C5,QuyDoi_DonVi!$C:$S,8,FALSE)*$J$2,0)</f>
        <v>0</v>
      </c>
      <c r="K5" s="36">
        <f>_xlfn.IFNA(VLOOKUP($C5,QuyDoi_DonVi!$C:$S,9,FALSE),0)</f>
        <v>0</v>
      </c>
      <c r="L5" s="36">
        <f>_xlfn.IFNA(VLOOKUP($C5,QuyDoi_DonVi!$C:$S,11,FALSE)*$L$2,0)</f>
        <v>0</v>
      </c>
      <c r="M5" s="55">
        <f>IFERROR(I5*100/E5,0)</f>
        <v>0</v>
      </c>
      <c r="N5" s="55">
        <f>IFERROR(J5*100/E5,0)</f>
        <v>0</v>
      </c>
      <c r="O5" s="55">
        <f>IFERROR(K5*100/E5,0)</f>
        <v>0</v>
      </c>
      <c r="P5" s="55">
        <f>IFERROR(L5*100/E5,0)</f>
        <v>0</v>
      </c>
      <c r="Q5" s="55">
        <f>IFERROR(M5*E5/100,0)</f>
        <v>0</v>
      </c>
      <c r="R5" s="55">
        <f>IFERROR(N5*E5/100,0)</f>
        <v>0</v>
      </c>
      <c r="S5" s="55">
        <f>IFERROR(O5*E5/100,0)</f>
        <v>0</v>
      </c>
      <c r="T5" s="55">
        <f>IFERROR(P5*E5/100,0)</f>
        <v>0</v>
      </c>
      <c r="U5" s="36">
        <f>_xlfn.IFNA(VLOOKUP($C5,QuyDoi_DonVi!$C:$S,6,FALSE),0)</f>
        <v>0</v>
      </c>
      <c r="V5" s="57">
        <f>U5*$V$2/100</f>
        <v>0</v>
      </c>
      <c r="W5" s="40">
        <f>U5</f>
        <v>0</v>
      </c>
    </row>
    <row r="6" spans="1:23" ht="15.6">
      <c r="B6" s="10" t="s">
        <v>97</v>
      </c>
      <c r="C6" s="9" t="s">
        <v>99</v>
      </c>
      <c r="D6" s="11" t="s">
        <v>100</v>
      </c>
      <c r="E6" s="43">
        <f>_xlfn.IFNA(VLOOKUP($C6,SOP_Banh!$C:$X,17,FALSE),"")</f>
        <v>566</v>
      </c>
      <c r="F6" s="54">
        <f t="shared" ref="F6:F69" si="0">SUM(I6:L6)</f>
        <v>1512</v>
      </c>
      <c r="G6" s="54">
        <f t="shared" ref="G6:G69" si="1">IFERROR(F6*100/E6,0)</f>
        <v>267.13780918727917</v>
      </c>
      <c r="H6" s="54">
        <f t="shared" ref="H6:H69" si="2">G6-100</f>
        <v>167.13780918727917</v>
      </c>
      <c r="I6" s="53">
        <f>_xlfn.IFNA(VLOOKUP($C6,QuyDoi_DonVi!$C:$S,6,FALSE)*$I$2,0)</f>
        <v>0</v>
      </c>
      <c r="J6" s="44">
        <f>_xlfn.IFNA(VLOOKUP($C6,QuyDoi_DonVi!$C:$S,8,FALSE)*$J$2,0)</f>
        <v>672</v>
      </c>
      <c r="K6" s="36">
        <f>_xlfn.IFNA(VLOOKUP($C6,QuyDoi_DonVi!$C:$S,9,FALSE),0)</f>
        <v>0</v>
      </c>
      <c r="L6" s="36">
        <f>_xlfn.IFNA(VLOOKUP($C6,QuyDoi_DonVi!$C:$S,11,FALSE)*$L$2,0)</f>
        <v>840</v>
      </c>
      <c r="M6" s="55">
        <f t="shared" ref="M6:M69" si="3">IFERROR(I6*100/E6,0)</f>
        <v>0</v>
      </c>
      <c r="N6" s="55">
        <f t="shared" ref="N6:N69" si="4">IFERROR(J6*100/E6,0)</f>
        <v>118.72791519434629</v>
      </c>
      <c r="O6" s="55">
        <f t="shared" ref="O6:O69" si="5">IFERROR(K6*100/E6,0)</f>
        <v>0</v>
      </c>
      <c r="P6" s="55">
        <f t="shared" ref="P6:P69" si="6">IFERROR(L6*100/E6,0)</f>
        <v>148.40989399293287</v>
      </c>
      <c r="Q6" s="55">
        <f t="shared" ref="Q6:Q69" si="7">IFERROR(M6*E6/100,0)</f>
        <v>0</v>
      </c>
      <c r="R6" s="55">
        <f t="shared" ref="R6:R69" si="8">IFERROR(N6*E6/100,0)</f>
        <v>672</v>
      </c>
      <c r="S6" s="55">
        <f t="shared" ref="S6:S69" si="9">IFERROR(O6*E6/100,0)</f>
        <v>0</v>
      </c>
      <c r="T6" s="55">
        <f t="shared" ref="T6:T69" si="10">IFERROR(P6*E6/100,0)</f>
        <v>840</v>
      </c>
      <c r="U6" s="36">
        <f>_xlfn.IFNA(VLOOKUP($C6,QuyDoi_DonVi!$C:$S,6,FALSE),0)</f>
        <v>0</v>
      </c>
      <c r="V6" s="57">
        <f t="shared" ref="V6:V69" si="11">U6*$V$2/100</f>
        <v>0</v>
      </c>
      <c r="W6" s="40">
        <f t="shared" ref="W6:W69" si="12">U6</f>
        <v>0</v>
      </c>
    </row>
    <row r="7" spans="1:23" ht="15.6">
      <c r="B7" s="10" t="s">
        <v>97</v>
      </c>
      <c r="C7" s="9" t="s">
        <v>101</v>
      </c>
      <c r="D7" s="11" t="s">
        <v>102</v>
      </c>
      <c r="E7" s="43">
        <f>_xlfn.IFNA(VLOOKUP($C7,SOP_Banh!$C:$X,17,FALSE),"")</f>
        <v>0</v>
      </c>
      <c r="F7" s="54">
        <f t="shared" si="0"/>
        <v>0</v>
      </c>
      <c r="G7" s="54">
        <f t="shared" si="1"/>
        <v>0</v>
      </c>
      <c r="H7" s="54">
        <f t="shared" si="2"/>
        <v>-100</v>
      </c>
      <c r="I7" s="53">
        <f>_xlfn.IFNA(VLOOKUP($C7,QuyDoi_DonVi!$C:$S,6,FALSE)*$I$2,0)</f>
        <v>0</v>
      </c>
      <c r="J7" s="44">
        <f>_xlfn.IFNA(VLOOKUP($C7,QuyDoi_DonVi!$C:$S,8,FALSE)*$J$2,0)</f>
        <v>0</v>
      </c>
      <c r="K7" s="36">
        <f>_xlfn.IFNA(VLOOKUP($C7,QuyDoi_DonVi!$C:$S,9,FALSE),0)</f>
        <v>0</v>
      </c>
      <c r="L7" s="36">
        <f>_xlfn.IFNA(VLOOKUP($C7,QuyDoi_DonVi!$C:$S,11,FALSE)*$L$2,0)</f>
        <v>0</v>
      </c>
      <c r="M7" s="55">
        <f t="shared" si="3"/>
        <v>0</v>
      </c>
      <c r="N7" s="55">
        <f t="shared" si="4"/>
        <v>0</v>
      </c>
      <c r="O7" s="55">
        <f t="shared" si="5"/>
        <v>0</v>
      </c>
      <c r="P7" s="55">
        <f t="shared" si="6"/>
        <v>0</v>
      </c>
      <c r="Q7" s="55">
        <f t="shared" si="7"/>
        <v>0</v>
      </c>
      <c r="R7" s="55">
        <f t="shared" si="8"/>
        <v>0</v>
      </c>
      <c r="S7" s="55">
        <f t="shared" si="9"/>
        <v>0</v>
      </c>
      <c r="T7" s="55">
        <f t="shared" si="10"/>
        <v>0</v>
      </c>
      <c r="U7" s="36">
        <f>_xlfn.IFNA(VLOOKUP($C7,QuyDoi_DonVi!$C:$S,6,FALSE),0)</f>
        <v>0</v>
      </c>
      <c r="V7" s="57">
        <f t="shared" si="11"/>
        <v>0</v>
      </c>
      <c r="W7" s="40">
        <f t="shared" si="12"/>
        <v>0</v>
      </c>
    </row>
    <row r="8" spans="1:23" ht="15.6">
      <c r="B8" s="10" t="s">
        <v>97</v>
      </c>
      <c r="C8" s="9" t="s">
        <v>103</v>
      </c>
      <c r="D8" s="11" t="s">
        <v>104</v>
      </c>
      <c r="E8" s="43">
        <f>_xlfn.IFNA(VLOOKUP($C8,SOP_Banh!$C:$X,17,FALSE),"")</f>
        <v>3116</v>
      </c>
      <c r="F8" s="54">
        <f t="shared" si="0"/>
        <v>4302.363636363636</v>
      </c>
      <c r="G8" s="54">
        <f t="shared" si="1"/>
        <v>138.0732874314389</v>
      </c>
      <c r="H8" s="54">
        <f t="shared" si="2"/>
        <v>38.073287431438899</v>
      </c>
      <c r="I8" s="53">
        <f>_xlfn.IFNA(VLOOKUP($C8,QuyDoi_DonVi!$C:$S,6,FALSE)*$I$2,0)</f>
        <v>1636.3636363636363</v>
      </c>
      <c r="J8" s="44">
        <f>_xlfn.IFNA(VLOOKUP($C8,QuyDoi_DonVi!$C:$S,8,FALSE)*$J$2,0)</f>
        <v>1248</v>
      </c>
      <c r="K8" s="36">
        <f>_xlfn.IFNA(VLOOKUP($C8,QuyDoi_DonVi!$C:$S,9,FALSE),0)</f>
        <v>648</v>
      </c>
      <c r="L8" s="36">
        <f>_xlfn.IFNA(VLOOKUP($C8,QuyDoi_DonVi!$C:$S,11,FALSE)*$L$2,0)</f>
        <v>770</v>
      </c>
      <c r="M8" s="55">
        <f t="shared" si="3"/>
        <v>52.514879215777796</v>
      </c>
      <c r="N8" s="55">
        <f t="shared" si="4"/>
        <v>40.051347881899872</v>
      </c>
      <c r="O8" s="55">
        <f t="shared" si="5"/>
        <v>20.79589216944801</v>
      </c>
      <c r="P8" s="55">
        <f t="shared" si="6"/>
        <v>24.711168164313221</v>
      </c>
      <c r="Q8" s="55">
        <f t="shared" si="7"/>
        <v>1636.3636363636363</v>
      </c>
      <c r="R8" s="55">
        <f t="shared" si="8"/>
        <v>1248</v>
      </c>
      <c r="S8" s="55">
        <f t="shared" si="9"/>
        <v>648</v>
      </c>
      <c r="T8" s="55">
        <f t="shared" si="10"/>
        <v>770</v>
      </c>
      <c r="U8" s="36">
        <f>_xlfn.IFNA(VLOOKUP($C8,QuyDoi_DonVi!$C:$S,6,FALSE),0)</f>
        <v>25</v>
      </c>
      <c r="V8" s="57">
        <f t="shared" si="11"/>
        <v>4.5454545454545459</v>
      </c>
      <c r="W8" s="40">
        <f t="shared" si="12"/>
        <v>25</v>
      </c>
    </row>
    <row r="9" spans="1:23" ht="15.6">
      <c r="B9" s="10" t="s">
        <v>97</v>
      </c>
      <c r="C9" s="9" t="s">
        <v>105</v>
      </c>
      <c r="D9" s="11" t="s">
        <v>106</v>
      </c>
      <c r="E9" s="43">
        <f>_xlfn.IFNA(VLOOKUP($C9,SOP_Banh!$C:$X,17,FALSE),"")</f>
        <v>2718</v>
      </c>
      <c r="F9" s="54">
        <f t="shared" si="0"/>
        <v>1960</v>
      </c>
      <c r="G9" s="54">
        <f t="shared" si="1"/>
        <v>72.111846946284032</v>
      </c>
      <c r="H9" s="54">
        <f t="shared" si="2"/>
        <v>-27.888153053715968</v>
      </c>
      <c r="I9" s="53">
        <f>_xlfn.IFNA(VLOOKUP($C9,QuyDoi_DonVi!$C:$S,6,FALSE)*$I$2,0)</f>
        <v>0</v>
      </c>
      <c r="J9" s="44">
        <f>_xlfn.IFNA(VLOOKUP($C9,QuyDoi_DonVi!$C:$S,8,FALSE)*$J$2,0)</f>
        <v>352</v>
      </c>
      <c r="K9" s="36">
        <f>_xlfn.IFNA(VLOOKUP($C9,QuyDoi_DonVi!$C:$S,9,FALSE),0)</f>
        <v>1188</v>
      </c>
      <c r="L9" s="36">
        <f>_xlfn.IFNA(VLOOKUP($C9,QuyDoi_DonVi!$C:$S,11,FALSE)*$L$2,0)</f>
        <v>420</v>
      </c>
      <c r="M9" s="55">
        <f t="shared" si="3"/>
        <v>0</v>
      </c>
      <c r="N9" s="55">
        <f t="shared" si="4"/>
        <v>12.950699043414275</v>
      </c>
      <c r="O9" s="55">
        <f t="shared" si="5"/>
        <v>43.70860927152318</v>
      </c>
      <c r="P9" s="55">
        <f t="shared" si="6"/>
        <v>15.452538631346579</v>
      </c>
      <c r="Q9" s="55">
        <f t="shared" si="7"/>
        <v>0</v>
      </c>
      <c r="R9" s="55">
        <f t="shared" si="8"/>
        <v>352</v>
      </c>
      <c r="S9" s="55">
        <f t="shared" si="9"/>
        <v>1188</v>
      </c>
      <c r="T9" s="55">
        <f t="shared" si="10"/>
        <v>420</v>
      </c>
      <c r="U9" s="36">
        <f>_xlfn.IFNA(VLOOKUP($C9,QuyDoi_DonVi!$C:$S,6,FALSE),0)</f>
        <v>0</v>
      </c>
      <c r="V9" s="57">
        <f t="shared" si="11"/>
        <v>0</v>
      </c>
      <c r="W9" s="40">
        <f t="shared" si="12"/>
        <v>0</v>
      </c>
    </row>
    <row r="10" spans="1:23" ht="15.6">
      <c r="B10" s="10" t="s">
        <v>97</v>
      </c>
      <c r="C10" s="9" t="s">
        <v>107</v>
      </c>
      <c r="D10" s="11" t="s">
        <v>108</v>
      </c>
      <c r="E10" s="43">
        <f>_xlfn.IFNA(VLOOKUP($C10,SOP_Banh!$C:$X,17,FALSE),"")</f>
        <v>5044</v>
      </c>
      <c r="F10" s="54">
        <f t="shared" si="0"/>
        <v>4764.363636363636</v>
      </c>
      <c r="G10" s="54">
        <f t="shared" si="1"/>
        <v>94.456059404512999</v>
      </c>
      <c r="H10" s="54">
        <f t="shared" si="2"/>
        <v>-5.5439405954870011</v>
      </c>
      <c r="I10" s="53">
        <f>_xlfn.IFNA(VLOOKUP($C10,QuyDoi_DonVi!$C:$S,6,FALSE)*$I$2,0)</f>
        <v>1636.3636363636363</v>
      </c>
      <c r="J10" s="44">
        <f>_xlfn.IFNA(VLOOKUP($C10,QuyDoi_DonVi!$C:$S,8,FALSE)*$J$2,0)</f>
        <v>1024</v>
      </c>
      <c r="K10" s="36">
        <f>_xlfn.IFNA(VLOOKUP($C10,QuyDoi_DonVi!$C:$S,9,FALSE),0)</f>
        <v>1404</v>
      </c>
      <c r="L10" s="36">
        <f>_xlfn.IFNA(VLOOKUP($C10,QuyDoi_DonVi!$C:$S,11,FALSE)*$L$2,0)</f>
        <v>700</v>
      </c>
      <c r="M10" s="55">
        <f t="shared" si="3"/>
        <v>32.4417850191046</v>
      </c>
      <c r="N10" s="55">
        <f t="shared" si="4"/>
        <v>20.301348136399682</v>
      </c>
      <c r="O10" s="55">
        <f t="shared" si="5"/>
        <v>27.835051546391753</v>
      </c>
      <c r="P10" s="55">
        <f t="shared" si="6"/>
        <v>13.877874702616971</v>
      </c>
      <c r="Q10" s="55">
        <f t="shared" si="7"/>
        <v>1636.3636363636358</v>
      </c>
      <c r="R10" s="55">
        <f t="shared" si="8"/>
        <v>1024</v>
      </c>
      <c r="S10" s="55">
        <f t="shared" si="9"/>
        <v>1404</v>
      </c>
      <c r="T10" s="55">
        <f t="shared" si="10"/>
        <v>700</v>
      </c>
      <c r="U10" s="36">
        <f>_xlfn.IFNA(VLOOKUP($C10,QuyDoi_DonVi!$C:$S,6,FALSE),0)</f>
        <v>25</v>
      </c>
      <c r="V10" s="57">
        <f t="shared" si="11"/>
        <v>4.5454545454545459</v>
      </c>
      <c r="W10" s="40">
        <f t="shared" si="12"/>
        <v>25</v>
      </c>
    </row>
    <row r="11" spans="1:23" ht="15.6">
      <c r="B11" s="10" t="s">
        <v>97</v>
      </c>
      <c r="C11" s="9" t="s">
        <v>109</v>
      </c>
      <c r="D11" s="11" t="s">
        <v>110</v>
      </c>
      <c r="E11" s="43">
        <f>_xlfn.IFNA(VLOOKUP($C11,SOP_Banh!$C:$X,17,FALSE),"")</f>
        <v>3400</v>
      </c>
      <c r="F11" s="54">
        <f t="shared" si="0"/>
        <v>4500.7272727272721</v>
      </c>
      <c r="G11" s="54">
        <f t="shared" si="1"/>
        <v>132.37433155080211</v>
      </c>
      <c r="H11" s="54">
        <f t="shared" si="2"/>
        <v>32.374331550802111</v>
      </c>
      <c r="I11" s="53">
        <f>_xlfn.IFNA(VLOOKUP($C11,QuyDoi_DonVi!$C:$S,6,FALSE)*$I$2,0)</f>
        <v>3272.7272727272725</v>
      </c>
      <c r="J11" s="44">
        <f>_xlfn.IFNA(VLOOKUP($C11,QuyDoi_DonVi!$C:$S,8,FALSE)*$J$2,0)</f>
        <v>688</v>
      </c>
      <c r="K11" s="36">
        <f>_xlfn.IFNA(VLOOKUP($C11,QuyDoi_DonVi!$C:$S,9,FALSE),0)</f>
        <v>540</v>
      </c>
      <c r="L11" s="36">
        <f>_xlfn.IFNA(VLOOKUP($C11,QuyDoi_DonVi!$C:$S,11,FALSE)*$L$2,0)</f>
        <v>0</v>
      </c>
      <c r="M11" s="55">
        <f t="shared" si="3"/>
        <v>96.256684491978604</v>
      </c>
      <c r="N11" s="55">
        <f t="shared" si="4"/>
        <v>20.235294117647058</v>
      </c>
      <c r="O11" s="55">
        <f t="shared" si="5"/>
        <v>15.882352941176471</v>
      </c>
      <c r="P11" s="55">
        <f t="shared" si="6"/>
        <v>0</v>
      </c>
      <c r="Q11" s="55">
        <f t="shared" si="7"/>
        <v>3272.7272727272725</v>
      </c>
      <c r="R11" s="55">
        <f t="shared" si="8"/>
        <v>688</v>
      </c>
      <c r="S11" s="55">
        <f t="shared" si="9"/>
        <v>540</v>
      </c>
      <c r="T11" s="55">
        <f t="shared" si="10"/>
        <v>0</v>
      </c>
      <c r="U11" s="36">
        <f>_xlfn.IFNA(VLOOKUP($C11,QuyDoi_DonVi!$C:$S,6,FALSE),0)</f>
        <v>50</v>
      </c>
      <c r="V11" s="57">
        <f t="shared" si="11"/>
        <v>9.0909090909090917</v>
      </c>
      <c r="W11" s="40">
        <f t="shared" si="12"/>
        <v>50</v>
      </c>
    </row>
    <row r="12" spans="1:23" ht="15.6">
      <c r="B12" s="10" t="s">
        <v>97</v>
      </c>
      <c r="C12" s="9" t="s">
        <v>111</v>
      </c>
      <c r="D12" s="11" t="s">
        <v>112</v>
      </c>
      <c r="E12" s="43">
        <f>_xlfn.IFNA(VLOOKUP($C12,SOP_Banh!$C:$X,17,FALSE),"")</f>
        <v>1166</v>
      </c>
      <c r="F12" s="54">
        <f t="shared" si="0"/>
        <v>768</v>
      </c>
      <c r="G12" s="54">
        <f t="shared" si="1"/>
        <v>65.866209262435675</v>
      </c>
      <c r="H12" s="54">
        <f t="shared" si="2"/>
        <v>-34.133790737564325</v>
      </c>
      <c r="I12" s="53">
        <f>_xlfn.IFNA(VLOOKUP($C12,QuyDoi_DonVi!$C:$S,6,FALSE)*$I$2,0)</f>
        <v>0</v>
      </c>
      <c r="J12" s="44">
        <f>_xlfn.IFNA(VLOOKUP($C12,QuyDoi_DonVi!$C:$S,8,FALSE)*$J$2,0)</f>
        <v>272</v>
      </c>
      <c r="K12" s="36">
        <f>_xlfn.IFNA(VLOOKUP($C12,QuyDoi_DonVi!$C:$S,9,FALSE),0)</f>
        <v>216</v>
      </c>
      <c r="L12" s="36">
        <f>_xlfn.IFNA(VLOOKUP($C12,QuyDoi_DonVi!$C:$S,11,FALSE)*$L$2,0)</f>
        <v>280</v>
      </c>
      <c r="M12" s="55">
        <f t="shared" si="3"/>
        <v>0</v>
      </c>
      <c r="N12" s="55">
        <f t="shared" si="4"/>
        <v>23.327615780445971</v>
      </c>
      <c r="O12" s="55">
        <f t="shared" si="5"/>
        <v>18.524871355060036</v>
      </c>
      <c r="P12" s="55">
        <f t="shared" si="6"/>
        <v>24.013722126929675</v>
      </c>
      <c r="Q12" s="55">
        <f t="shared" si="7"/>
        <v>0</v>
      </c>
      <c r="R12" s="55">
        <f t="shared" si="8"/>
        <v>272.00000000000006</v>
      </c>
      <c r="S12" s="55">
        <f t="shared" si="9"/>
        <v>216</v>
      </c>
      <c r="T12" s="55">
        <f t="shared" si="10"/>
        <v>280</v>
      </c>
      <c r="U12" s="36">
        <f>_xlfn.IFNA(VLOOKUP($C12,QuyDoi_DonVi!$C:$S,6,FALSE),0)</f>
        <v>0</v>
      </c>
      <c r="V12" s="57">
        <f t="shared" si="11"/>
        <v>0</v>
      </c>
      <c r="W12" s="40">
        <f t="shared" si="12"/>
        <v>0</v>
      </c>
    </row>
    <row r="13" spans="1:23" ht="15.6">
      <c r="B13" s="10" t="s">
        <v>97</v>
      </c>
      <c r="C13" s="9" t="s">
        <v>113</v>
      </c>
      <c r="D13" s="11" t="s">
        <v>114</v>
      </c>
      <c r="E13" s="43">
        <f>_xlfn.IFNA(VLOOKUP($C13,SOP_Banh!$C:$X,17,FALSE),"")</f>
        <v>2004</v>
      </c>
      <c r="F13" s="54">
        <f t="shared" si="0"/>
        <v>1108</v>
      </c>
      <c r="G13" s="54">
        <f t="shared" si="1"/>
        <v>55.289421157684629</v>
      </c>
      <c r="H13" s="54">
        <f t="shared" si="2"/>
        <v>-44.710578842315371</v>
      </c>
      <c r="I13" s="53">
        <f>_xlfn.IFNA(VLOOKUP($C13,QuyDoi_DonVi!$C:$S,6,FALSE)*$I$2,0)</f>
        <v>0</v>
      </c>
      <c r="J13" s="44">
        <f>_xlfn.IFNA(VLOOKUP($C13,QuyDoi_DonVi!$C:$S,8,FALSE)*$J$2,0)</f>
        <v>256</v>
      </c>
      <c r="K13" s="36">
        <f>_xlfn.IFNA(VLOOKUP($C13,QuyDoi_DonVi!$C:$S,9,FALSE),0)</f>
        <v>432</v>
      </c>
      <c r="L13" s="36">
        <f>_xlfn.IFNA(VLOOKUP($C13,QuyDoi_DonVi!$C:$S,11,FALSE)*$L$2,0)</f>
        <v>420</v>
      </c>
      <c r="M13" s="55">
        <f t="shared" si="3"/>
        <v>0</v>
      </c>
      <c r="N13" s="55">
        <f t="shared" si="4"/>
        <v>12.774451097804391</v>
      </c>
      <c r="O13" s="55">
        <f t="shared" si="5"/>
        <v>21.556886227544911</v>
      </c>
      <c r="P13" s="55">
        <f t="shared" si="6"/>
        <v>20.95808383233533</v>
      </c>
      <c r="Q13" s="55">
        <f t="shared" si="7"/>
        <v>0</v>
      </c>
      <c r="R13" s="55">
        <f t="shared" si="8"/>
        <v>256</v>
      </c>
      <c r="S13" s="55">
        <f t="shared" si="9"/>
        <v>432</v>
      </c>
      <c r="T13" s="55">
        <f t="shared" si="10"/>
        <v>420</v>
      </c>
      <c r="U13" s="36">
        <f>_xlfn.IFNA(VLOOKUP($C13,QuyDoi_DonVi!$C:$S,6,FALSE),0)</f>
        <v>0</v>
      </c>
      <c r="V13" s="57">
        <f t="shared" si="11"/>
        <v>0</v>
      </c>
      <c r="W13" s="40">
        <f t="shared" si="12"/>
        <v>0</v>
      </c>
    </row>
    <row r="14" spans="1:23" ht="15.6">
      <c r="B14" s="10" t="s">
        <v>97</v>
      </c>
      <c r="C14" s="9" t="s">
        <v>115</v>
      </c>
      <c r="D14" s="11" t="s">
        <v>116</v>
      </c>
      <c r="E14" s="43">
        <f>_xlfn.IFNA(VLOOKUP($C14,SOP_Banh!$C:$X,17,FALSE),"")</f>
        <v>1830</v>
      </c>
      <c r="F14" s="54">
        <f t="shared" si="0"/>
        <v>2514.363636363636</v>
      </c>
      <c r="G14" s="54">
        <f t="shared" si="1"/>
        <v>137.39692001987081</v>
      </c>
      <c r="H14" s="54">
        <f t="shared" si="2"/>
        <v>37.396920019870805</v>
      </c>
      <c r="I14" s="53">
        <f>_xlfn.IFNA(VLOOKUP($C14,QuyDoi_DonVi!$C:$S,6,FALSE)*$I$2,0)</f>
        <v>1636.3636363636363</v>
      </c>
      <c r="J14" s="44">
        <f>_xlfn.IFNA(VLOOKUP($C14,QuyDoi_DonVi!$C:$S,8,FALSE)*$J$2,0)</f>
        <v>96</v>
      </c>
      <c r="K14" s="36">
        <f>_xlfn.IFNA(VLOOKUP($C14,QuyDoi_DonVi!$C:$S,9,FALSE),0)</f>
        <v>432</v>
      </c>
      <c r="L14" s="36">
        <f>_xlfn.IFNA(VLOOKUP($C14,QuyDoi_DonVi!$C:$S,11,FALSE)*$L$2,0)</f>
        <v>350</v>
      </c>
      <c r="M14" s="55">
        <f t="shared" si="3"/>
        <v>89.418777943368099</v>
      </c>
      <c r="N14" s="55">
        <f t="shared" si="4"/>
        <v>5.2459016393442619</v>
      </c>
      <c r="O14" s="55">
        <f t="shared" si="5"/>
        <v>23.606557377049182</v>
      </c>
      <c r="P14" s="55">
        <f t="shared" si="6"/>
        <v>19.125683060109289</v>
      </c>
      <c r="Q14" s="55">
        <f t="shared" si="7"/>
        <v>1636.3636363636363</v>
      </c>
      <c r="R14" s="55">
        <f t="shared" si="8"/>
        <v>96</v>
      </c>
      <c r="S14" s="55">
        <f t="shared" si="9"/>
        <v>432</v>
      </c>
      <c r="T14" s="55">
        <f t="shared" si="10"/>
        <v>350</v>
      </c>
      <c r="U14" s="36">
        <f>_xlfn.IFNA(VLOOKUP($C14,QuyDoi_DonVi!$C:$S,6,FALSE),0)</f>
        <v>25</v>
      </c>
      <c r="V14" s="57">
        <f t="shared" si="11"/>
        <v>4.5454545454545459</v>
      </c>
      <c r="W14" s="40">
        <f t="shared" si="12"/>
        <v>25</v>
      </c>
    </row>
    <row r="15" spans="1:23" ht="15.6">
      <c r="B15" s="10" t="s">
        <v>97</v>
      </c>
      <c r="C15" s="9" t="s">
        <v>117</v>
      </c>
      <c r="D15" s="11" t="s">
        <v>118</v>
      </c>
      <c r="E15" s="43">
        <f>_xlfn.IFNA(VLOOKUP($C15,SOP_Banh!$C:$X,17,FALSE),"")</f>
        <v>1332</v>
      </c>
      <c r="F15" s="54">
        <f t="shared" si="0"/>
        <v>700</v>
      </c>
      <c r="G15" s="54">
        <f t="shared" si="1"/>
        <v>52.552552552552555</v>
      </c>
      <c r="H15" s="54">
        <f t="shared" si="2"/>
        <v>-47.447447447447445</v>
      </c>
      <c r="I15" s="53">
        <f>_xlfn.IFNA(VLOOKUP($C15,QuyDoi_DonVi!$C:$S,6,FALSE)*$I$2,0)</f>
        <v>0</v>
      </c>
      <c r="J15" s="44">
        <f>_xlfn.IFNA(VLOOKUP($C15,QuyDoi_DonVi!$C:$S,8,FALSE)*$J$2,0)</f>
        <v>128</v>
      </c>
      <c r="K15" s="36">
        <f>_xlfn.IFNA(VLOOKUP($C15,QuyDoi_DonVi!$C:$S,9,FALSE),0)</f>
        <v>432</v>
      </c>
      <c r="L15" s="36">
        <f>_xlfn.IFNA(VLOOKUP($C15,QuyDoi_DonVi!$C:$S,11,FALSE)*$L$2,0)</f>
        <v>140</v>
      </c>
      <c r="M15" s="55">
        <f t="shared" si="3"/>
        <v>0</v>
      </c>
      <c r="N15" s="55">
        <f t="shared" si="4"/>
        <v>9.6096096096096097</v>
      </c>
      <c r="O15" s="55">
        <f t="shared" si="5"/>
        <v>32.432432432432435</v>
      </c>
      <c r="P15" s="55">
        <f t="shared" si="6"/>
        <v>10.51051051051051</v>
      </c>
      <c r="Q15" s="55">
        <f t="shared" si="7"/>
        <v>0</v>
      </c>
      <c r="R15" s="55">
        <f t="shared" si="8"/>
        <v>128</v>
      </c>
      <c r="S15" s="55">
        <f t="shared" si="9"/>
        <v>432</v>
      </c>
      <c r="T15" s="55">
        <f t="shared" si="10"/>
        <v>140</v>
      </c>
      <c r="U15" s="36">
        <f>_xlfn.IFNA(VLOOKUP($C15,QuyDoi_DonVi!$C:$S,6,FALSE),0)</f>
        <v>0</v>
      </c>
      <c r="V15" s="57">
        <f t="shared" si="11"/>
        <v>0</v>
      </c>
      <c r="W15" s="40">
        <f t="shared" si="12"/>
        <v>0</v>
      </c>
    </row>
    <row r="16" spans="1:23" ht="15.6">
      <c r="B16" s="10" t="s">
        <v>97</v>
      </c>
      <c r="C16" s="9" t="s">
        <v>119</v>
      </c>
      <c r="D16" s="11" t="s">
        <v>120</v>
      </c>
      <c r="E16" s="43">
        <f>_xlfn.IFNA(VLOOKUP($C16,SOP_Banh!$C:$X,17,FALSE),"")</f>
        <v>1816</v>
      </c>
      <c r="F16" s="54">
        <f t="shared" si="0"/>
        <v>828</v>
      </c>
      <c r="G16" s="54">
        <f t="shared" si="1"/>
        <v>45.594713656387668</v>
      </c>
      <c r="H16" s="54">
        <f t="shared" si="2"/>
        <v>-54.405286343612332</v>
      </c>
      <c r="I16" s="53">
        <f>_xlfn.IFNA(VLOOKUP($C16,QuyDoi_DonVi!$C:$S,6,FALSE)*$I$2,0)</f>
        <v>0</v>
      </c>
      <c r="J16" s="44">
        <f>_xlfn.IFNA(VLOOKUP($C16,QuyDoi_DonVi!$C:$S,8,FALSE)*$J$2,0)</f>
        <v>288</v>
      </c>
      <c r="K16" s="36">
        <f>_xlfn.IFNA(VLOOKUP($C16,QuyDoi_DonVi!$C:$S,9,FALSE),0)</f>
        <v>540</v>
      </c>
      <c r="L16" s="36">
        <f>_xlfn.IFNA(VLOOKUP($C16,QuyDoi_DonVi!$C:$S,11,FALSE)*$L$2,0)</f>
        <v>0</v>
      </c>
      <c r="M16" s="55">
        <f t="shared" si="3"/>
        <v>0</v>
      </c>
      <c r="N16" s="55">
        <f t="shared" si="4"/>
        <v>15.859030837004406</v>
      </c>
      <c r="O16" s="55">
        <f t="shared" si="5"/>
        <v>29.735682819383261</v>
      </c>
      <c r="P16" s="55">
        <f t="shared" si="6"/>
        <v>0</v>
      </c>
      <c r="Q16" s="55">
        <f t="shared" si="7"/>
        <v>0</v>
      </c>
      <c r="R16" s="55">
        <f t="shared" si="8"/>
        <v>288</v>
      </c>
      <c r="S16" s="55">
        <f t="shared" si="9"/>
        <v>540</v>
      </c>
      <c r="T16" s="55">
        <f t="shared" si="10"/>
        <v>0</v>
      </c>
      <c r="U16" s="36">
        <f>_xlfn.IFNA(VLOOKUP($C16,QuyDoi_DonVi!$C:$S,6,FALSE),0)</f>
        <v>0</v>
      </c>
      <c r="V16" s="57">
        <f t="shared" si="11"/>
        <v>0</v>
      </c>
      <c r="W16" s="40">
        <f t="shared" si="12"/>
        <v>0</v>
      </c>
    </row>
    <row r="17" spans="2:23" ht="15.6">
      <c r="B17" s="10" t="s">
        <v>97</v>
      </c>
      <c r="C17" s="9" t="s">
        <v>121</v>
      </c>
      <c r="D17" s="11" t="s">
        <v>122</v>
      </c>
      <c r="E17" s="43">
        <f>_xlfn.IFNA(VLOOKUP($C17,SOP_Banh!$C:$X,17,FALSE),"")</f>
        <v>1308</v>
      </c>
      <c r="F17" s="54">
        <f t="shared" si="0"/>
        <v>1904.3636363636363</v>
      </c>
      <c r="G17" s="54">
        <f t="shared" si="1"/>
        <v>145.59355018070613</v>
      </c>
      <c r="H17" s="54">
        <f t="shared" si="2"/>
        <v>45.593550180706131</v>
      </c>
      <c r="I17" s="53">
        <f>_xlfn.IFNA(VLOOKUP($C17,QuyDoi_DonVi!$C:$S,6,FALSE)*$I$2,0)</f>
        <v>1636.3636363636363</v>
      </c>
      <c r="J17" s="44">
        <f>_xlfn.IFNA(VLOOKUP($C17,QuyDoi_DonVi!$C:$S,8,FALSE)*$J$2,0)</f>
        <v>128</v>
      </c>
      <c r="K17" s="36">
        <f>_xlfn.IFNA(VLOOKUP($C17,QuyDoi_DonVi!$C:$S,9,FALSE),0)</f>
        <v>0</v>
      </c>
      <c r="L17" s="36">
        <f>_xlfn.IFNA(VLOOKUP($C17,QuyDoi_DonVi!$C:$S,11,FALSE)*$L$2,0)</f>
        <v>140</v>
      </c>
      <c r="M17" s="55">
        <f t="shared" si="3"/>
        <v>125.10425354462051</v>
      </c>
      <c r="N17" s="55">
        <f t="shared" si="4"/>
        <v>9.7859327217125376</v>
      </c>
      <c r="O17" s="55">
        <f t="shared" si="5"/>
        <v>0</v>
      </c>
      <c r="P17" s="55">
        <f t="shared" si="6"/>
        <v>10.703363914373089</v>
      </c>
      <c r="Q17" s="55">
        <f t="shared" si="7"/>
        <v>1636.3636363636363</v>
      </c>
      <c r="R17" s="55">
        <f t="shared" si="8"/>
        <v>128</v>
      </c>
      <c r="S17" s="55">
        <f t="shared" si="9"/>
        <v>0</v>
      </c>
      <c r="T17" s="55">
        <f t="shared" si="10"/>
        <v>140</v>
      </c>
      <c r="U17" s="36">
        <f>_xlfn.IFNA(VLOOKUP($C17,QuyDoi_DonVi!$C:$S,6,FALSE),0)</f>
        <v>25</v>
      </c>
      <c r="V17" s="57">
        <f t="shared" si="11"/>
        <v>4.5454545454545459</v>
      </c>
      <c r="W17" s="40">
        <f t="shared" si="12"/>
        <v>25</v>
      </c>
    </row>
    <row r="18" spans="2:23" ht="15.6">
      <c r="B18" s="10" t="s">
        <v>97</v>
      </c>
      <c r="C18" s="9" t="s">
        <v>123</v>
      </c>
      <c r="D18" s="11" t="s">
        <v>124</v>
      </c>
      <c r="E18" s="43">
        <f>_xlfn.IFNA(VLOOKUP($C18,SOP_Banh!$C:$X,17,FALSE),"")</f>
        <v>932</v>
      </c>
      <c r="F18" s="54">
        <f t="shared" si="0"/>
        <v>600</v>
      </c>
      <c r="G18" s="54">
        <f t="shared" si="1"/>
        <v>64.377682403433482</v>
      </c>
      <c r="H18" s="54">
        <f t="shared" si="2"/>
        <v>-35.622317596566518</v>
      </c>
      <c r="I18" s="53">
        <f>_xlfn.IFNA(VLOOKUP($C18,QuyDoi_DonVi!$C:$S,6,FALSE)*$I$2,0)</f>
        <v>0</v>
      </c>
      <c r="J18" s="44">
        <f>_xlfn.IFNA(VLOOKUP($C18,QuyDoi_DonVi!$C:$S,8,FALSE)*$J$2,0)</f>
        <v>352</v>
      </c>
      <c r="K18" s="36">
        <f>_xlfn.IFNA(VLOOKUP($C18,QuyDoi_DonVi!$C:$S,9,FALSE),0)</f>
        <v>108</v>
      </c>
      <c r="L18" s="36">
        <f>_xlfn.IFNA(VLOOKUP($C18,QuyDoi_DonVi!$C:$S,11,FALSE)*$L$2,0)</f>
        <v>140</v>
      </c>
      <c r="M18" s="55">
        <f t="shared" si="3"/>
        <v>0</v>
      </c>
      <c r="N18" s="55">
        <f t="shared" si="4"/>
        <v>37.768240343347642</v>
      </c>
      <c r="O18" s="55">
        <f t="shared" si="5"/>
        <v>11.587982832618026</v>
      </c>
      <c r="P18" s="55">
        <f t="shared" si="6"/>
        <v>15.021459227467812</v>
      </c>
      <c r="Q18" s="55">
        <f t="shared" si="7"/>
        <v>0</v>
      </c>
      <c r="R18" s="55">
        <f t="shared" si="8"/>
        <v>352</v>
      </c>
      <c r="S18" s="55">
        <f t="shared" si="9"/>
        <v>108</v>
      </c>
      <c r="T18" s="55">
        <f t="shared" si="10"/>
        <v>140</v>
      </c>
      <c r="U18" s="36">
        <f>_xlfn.IFNA(VLOOKUP($C18,QuyDoi_DonVi!$C:$S,6,FALSE),0)</f>
        <v>0</v>
      </c>
      <c r="V18" s="57">
        <f t="shared" si="11"/>
        <v>0</v>
      </c>
      <c r="W18" s="40">
        <f t="shared" si="12"/>
        <v>0</v>
      </c>
    </row>
    <row r="19" spans="2:23" ht="15.6">
      <c r="B19" s="10" t="s">
        <v>97</v>
      </c>
      <c r="C19" s="9" t="s">
        <v>125</v>
      </c>
      <c r="D19" s="11" t="s">
        <v>126</v>
      </c>
      <c r="E19" s="43">
        <f>_xlfn.IFNA(VLOOKUP($C19,SOP_Banh!$C:$X,17,FALSE),"")</f>
        <v>4100</v>
      </c>
      <c r="F19" s="54">
        <f t="shared" si="0"/>
        <v>5422.7272727272721</v>
      </c>
      <c r="G19" s="54">
        <f t="shared" si="1"/>
        <v>132.26164079822615</v>
      </c>
      <c r="H19" s="54">
        <f t="shared" si="2"/>
        <v>32.261640798226153</v>
      </c>
      <c r="I19" s="53">
        <f>_xlfn.IFNA(VLOOKUP($C19,QuyDoi_DonVi!$C:$S,6,FALSE)*$I$2,0)</f>
        <v>3272.7272727272725</v>
      </c>
      <c r="J19" s="44">
        <f>_xlfn.IFNA(VLOOKUP($C19,QuyDoi_DonVi!$C:$S,8,FALSE)*$J$2,0)</f>
        <v>720</v>
      </c>
      <c r="K19" s="36">
        <f>_xlfn.IFNA(VLOOKUP($C19,QuyDoi_DonVi!$C:$S,9,FALSE),0)</f>
        <v>1080</v>
      </c>
      <c r="L19" s="36">
        <f>_xlfn.IFNA(VLOOKUP($C19,QuyDoi_DonVi!$C:$S,11,FALSE)*$L$2,0)</f>
        <v>350</v>
      </c>
      <c r="M19" s="55">
        <f t="shared" si="3"/>
        <v>79.822616407982252</v>
      </c>
      <c r="N19" s="55">
        <f t="shared" si="4"/>
        <v>17.560975609756099</v>
      </c>
      <c r="O19" s="55">
        <f t="shared" si="5"/>
        <v>26.341463414634145</v>
      </c>
      <c r="P19" s="55">
        <f t="shared" si="6"/>
        <v>8.536585365853659</v>
      </c>
      <c r="Q19" s="55">
        <f t="shared" si="7"/>
        <v>3272.7272727272725</v>
      </c>
      <c r="R19" s="55">
        <f t="shared" si="8"/>
        <v>720</v>
      </c>
      <c r="S19" s="55">
        <f t="shared" si="9"/>
        <v>1080</v>
      </c>
      <c r="T19" s="55">
        <f t="shared" si="10"/>
        <v>350</v>
      </c>
      <c r="U19" s="36">
        <f>_xlfn.IFNA(VLOOKUP($C19,QuyDoi_DonVi!$C:$S,6,FALSE),0)</f>
        <v>50</v>
      </c>
      <c r="V19" s="57">
        <f t="shared" si="11"/>
        <v>9.0909090909090917</v>
      </c>
      <c r="W19" s="40">
        <f t="shared" si="12"/>
        <v>50</v>
      </c>
    </row>
    <row r="20" spans="2:23" ht="15.6">
      <c r="B20" s="10" t="s">
        <v>97</v>
      </c>
      <c r="C20" s="9" t="s">
        <v>0</v>
      </c>
      <c r="D20" s="11" t="s">
        <v>127</v>
      </c>
      <c r="E20" s="43">
        <f>_xlfn.IFNA(VLOOKUP($C20,SOP_Banh!$C:$X,17,FALSE),"")</f>
        <v>1578</v>
      </c>
      <c r="F20" s="54">
        <f t="shared" si="0"/>
        <v>760</v>
      </c>
      <c r="G20" s="54">
        <f t="shared" si="1"/>
        <v>48.162230671736374</v>
      </c>
      <c r="H20" s="54">
        <f t="shared" si="2"/>
        <v>-51.837769328263626</v>
      </c>
      <c r="I20" s="53">
        <f>_xlfn.IFNA(VLOOKUP($C20,QuyDoi_DonVi!$C:$S,6,FALSE)*$I$2,0)</f>
        <v>0</v>
      </c>
      <c r="J20" s="44">
        <f>_xlfn.IFNA(VLOOKUP($C20,QuyDoi_DonVi!$C:$S,8,FALSE)*$J$2,0)</f>
        <v>80</v>
      </c>
      <c r="K20" s="36">
        <f>_xlfn.IFNA(VLOOKUP($C20,QuyDoi_DonVi!$C:$S,9,FALSE),0)</f>
        <v>540</v>
      </c>
      <c r="L20" s="36">
        <f>_xlfn.IFNA(VLOOKUP($C20,QuyDoi_DonVi!$C:$S,11,FALSE)*$L$2,0)</f>
        <v>140</v>
      </c>
      <c r="M20" s="55">
        <f t="shared" si="3"/>
        <v>0</v>
      </c>
      <c r="N20" s="55">
        <f t="shared" si="4"/>
        <v>5.0697084917617241</v>
      </c>
      <c r="O20" s="55">
        <f t="shared" si="5"/>
        <v>34.220532319391637</v>
      </c>
      <c r="P20" s="55">
        <f t="shared" si="6"/>
        <v>8.8719898605830156</v>
      </c>
      <c r="Q20" s="55">
        <f t="shared" si="7"/>
        <v>0</v>
      </c>
      <c r="R20" s="55">
        <f t="shared" si="8"/>
        <v>80.000000000000014</v>
      </c>
      <c r="S20" s="55">
        <f t="shared" si="9"/>
        <v>540</v>
      </c>
      <c r="T20" s="55">
        <f t="shared" si="10"/>
        <v>139.99999999999997</v>
      </c>
      <c r="U20" s="36">
        <f>_xlfn.IFNA(VLOOKUP($C20,QuyDoi_DonVi!$C:$S,6,FALSE),0)</f>
        <v>0</v>
      </c>
      <c r="V20" s="57">
        <f t="shared" si="11"/>
        <v>0</v>
      </c>
      <c r="W20" s="40">
        <f t="shared" si="12"/>
        <v>0</v>
      </c>
    </row>
    <row r="21" spans="2:23" ht="15.6">
      <c r="B21" s="10" t="s">
        <v>97</v>
      </c>
      <c r="C21" s="9" t="s">
        <v>128</v>
      </c>
      <c r="D21" s="11" t="s">
        <v>129</v>
      </c>
      <c r="E21" s="43">
        <f>_xlfn.IFNA(VLOOKUP($C21,SOP_Banh!$C:$X,17,FALSE),"")</f>
        <v>1688</v>
      </c>
      <c r="F21" s="54">
        <f t="shared" si="0"/>
        <v>2782.363636363636</v>
      </c>
      <c r="G21" s="54">
        <f t="shared" si="1"/>
        <v>164.83196897888837</v>
      </c>
      <c r="H21" s="54">
        <f t="shared" si="2"/>
        <v>64.831968978888369</v>
      </c>
      <c r="I21" s="53">
        <f>_xlfn.IFNA(VLOOKUP($C21,QuyDoi_DonVi!$C:$S,6,FALSE)*$I$2,0)</f>
        <v>1636.3636363636363</v>
      </c>
      <c r="J21" s="44">
        <f>_xlfn.IFNA(VLOOKUP($C21,QuyDoi_DonVi!$C:$S,8,FALSE)*$J$2,0)</f>
        <v>320</v>
      </c>
      <c r="K21" s="36">
        <f>_xlfn.IFNA(VLOOKUP($C21,QuyDoi_DonVi!$C:$S,9,FALSE),0)</f>
        <v>756</v>
      </c>
      <c r="L21" s="36">
        <f>_xlfn.IFNA(VLOOKUP($C21,QuyDoi_DonVi!$C:$S,11,FALSE)*$L$2,0)</f>
        <v>70</v>
      </c>
      <c r="M21" s="55">
        <f t="shared" si="3"/>
        <v>96.940973718224896</v>
      </c>
      <c r="N21" s="55">
        <f t="shared" si="4"/>
        <v>18.957345971563981</v>
      </c>
      <c r="O21" s="55">
        <f t="shared" si="5"/>
        <v>44.786729857819907</v>
      </c>
      <c r="P21" s="55">
        <f t="shared" si="6"/>
        <v>4.1469194312796205</v>
      </c>
      <c r="Q21" s="55">
        <f t="shared" si="7"/>
        <v>1636.3636363636363</v>
      </c>
      <c r="R21" s="55">
        <f t="shared" si="8"/>
        <v>320</v>
      </c>
      <c r="S21" s="55">
        <f t="shared" si="9"/>
        <v>756</v>
      </c>
      <c r="T21" s="55">
        <f t="shared" si="10"/>
        <v>69.999999999999986</v>
      </c>
      <c r="U21" s="36">
        <f>_xlfn.IFNA(VLOOKUP($C21,QuyDoi_DonVi!$C:$S,6,FALSE),0)</f>
        <v>25</v>
      </c>
      <c r="V21" s="57">
        <f t="shared" si="11"/>
        <v>4.5454545454545459</v>
      </c>
      <c r="W21" s="40">
        <f t="shared" si="12"/>
        <v>25</v>
      </c>
    </row>
    <row r="22" spans="2:23" ht="15.6">
      <c r="B22" s="10" t="s">
        <v>97</v>
      </c>
      <c r="C22" s="9" t="s">
        <v>130</v>
      </c>
      <c r="D22" s="11" t="s">
        <v>131</v>
      </c>
      <c r="E22" s="43">
        <f>_xlfn.IFNA(VLOOKUP($C22,SOP_Banh!$C:$X,17,FALSE),"")</f>
        <v>1506</v>
      </c>
      <c r="F22" s="54">
        <f t="shared" si="0"/>
        <v>2704.363636363636</v>
      </c>
      <c r="G22" s="54">
        <f t="shared" si="1"/>
        <v>179.57261861644329</v>
      </c>
      <c r="H22" s="54">
        <f t="shared" si="2"/>
        <v>79.572618616443293</v>
      </c>
      <c r="I22" s="53">
        <f>_xlfn.IFNA(VLOOKUP($C22,QuyDoi_DonVi!$C:$S,6,FALSE)*$I$2,0)</f>
        <v>1636.3636363636363</v>
      </c>
      <c r="J22" s="44">
        <f>_xlfn.IFNA(VLOOKUP($C22,QuyDoi_DonVi!$C:$S,8,FALSE)*$J$2,0)</f>
        <v>528</v>
      </c>
      <c r="K22" s="36">
        <f>_xlfn.IFNA(VLOOKUP($C22,QuyDoi_DonVi!$C:$S,9,FALSE),0)</f>
        <v>540</v>
      </c>
      <c r="L22" s="36">
        <f>_xlfn.IFNA(VLOOKUP($C22,QuyDoi_DonVi!$C:$S,11,FALSE)*$L$2,0)</f>
        <v>0</v>
      </c>
      <c r="M22" s="55">
        <f t="shared" si="3"/>
        <v>108.65628395508872</v>
      </c>
      <c r="N22" s="55">
        <f t="shared" si="4"/>
        <v>35.059760956175296</v>
      </c>
      <c r="O22" s="55">
        <f t="shared" si="5"/>
        <v>35.856573705179279</v>
      </c>
      <c r="P22" s="55">
        <f t="shared" si="6"/>
        <v>0</v>
      </c>
      <c r="Q22" s="55">
        <f t="shared" si="7"/>
        <v>1636.3636363636363</v>
      </c>
      <c r="R22" s="55">
        <f t="shared" si="8"/>
        <v>527.99999999999989</v>
      </c>
      <c r="S22" s="55">
        <f t="shared" si="9"/>
        <v>539.99999999999989</v>
      </c>
      <c r="T22" s="55">
        <f t="shared" si="10"/>
        <v>0</v>
      </c>
      <c r="U22" s="36">
        <f>_xlfn.IFNA(VLOOKUP($C22,QuyDoi_DonVi!$C:$S,6,FALSE),0)</f>
        <v>25</v>
      </c>
      <c r="V22" s="57">
        <f t="shared" si="11"/>
        <v>4.5454545454545459</v>
      </c>
      <c r="W22" s="40">
        <f t="shared" si="12"/>
        <v>25</v>
      </c>
    </row>
    <row r="23" spans="2:23" ht="15.6">
      <c r="B23" s="10" t="s">
        <v>97</v>
      </c>
      <c r="C23" s="9" t="s">
        <v>132</v>
      </c>
      <c r="D23" s="11" t="s">
        <v>133</v>
      </c>
      <c r="E23" s="43">
        <f>_xlfn.IFNA(VLOOKUP($C23,SOP_Banh!$C:$X,17,FALSE),"")</f>
        <v>1022</v>
      </c>
      <c r="F23" s="54">
        <f t="shared" si="0"/>
        <v>864</v>
      </c>
      <c r="G23" s="54">
        <f t="shared" si="1"/>
        <v>84.540117416829744</v>
      </c>
      <c r="H23" s="54">
        <f t="shared" si="2"/>
        <v>-15.459882583170256</v>
      </c>
      <c r="I23" s="53">
        <f>_xlfn.IFNA(VLOOKUP($C23,QuyDoi_DonVi!$C:$S,6,FALSE)*$I$2,0)</f>
        <v>0</v>
      </c>
      <c r="J23" s="44">
        <f>_xlfn.IFNA(VLOOKUP($C23,QuyDoi_DonVi!$C:$S,8,FALSE)*$J$2,0)</f>
        <v>0</v>
      </c>
      <c r="K23" s="36">
        <f>_xlfn.IFNA(VLOOKUP($C23,QuyDoi_DonVi!$C:$S,9,FALSE),0)</f>
        <v>864</v>
      </c>
      <c r="L23" s="36">
        <f>_xlfn.IFNA(VLOOKUP($C23,QuyDoi_DonVi!$C:$S,11,FALSE)*$L$2,0)</f>
        <v>0</v>
      </c>
      <c r="M23" s="55">
        <f t="shared" si="3"/>
        <v>0</v>
      </c>
      <c r="N23" s="55">
        <f t="shared" si="4"/>
        <v>0</v>
      </c>
      <c r="O23" s="55">
        <f t="shared" si="5"/>
        <v>84.540117416829744</v>
      </c>
      <c r="P23" s="55">
        <f t="shared" si="6"/>
        <v>0</v>
      </c>
      <c r="Q23" s="55">
        <f t="shared" si="7"/>
        <v>0</v>
      </c>
      <c r="R23" s="55">
        <f t="shared" si="8"/>
        <v>0</v>
      </c>
      <c r="S23" s="55">
        <f t="shared" si="9"/>
        <v>864</v>
      </c>
      <c r="T23" s="55">
        <f t="shared" si="10"/>
        <v>0</v>
      </c>
      <c r="U23" s="36">
        <f>_xlfn.IFNA(VLOOKUP($C23,QuyDoi_DonVi!$C:$S,6,FALSE),0)</f>
        <v>0</v>
      </c>
      <c r="V23" s="57">
        <f t="shared" si="11"/>
        <v>0</v>
      </c>
      <c r="W23" s="40">
        <f t="shared" si="12"/>
        <v>0</v>
      </c>
    </row>
    <row r="24" spans="2:23" ht="15.6">
      <c r="B24" s="10" t="s">
        <v>97</v>
      </c>
      <c r="C24" s="9" t="s">
        <v>134</v>
      </c>
      <c r="D24" s="11" t="s">
        <v>135</v>
      </c>
      <c r="E24" s="43">
        <f>_xlfn.IFNA(VLOOKUP($C24,SOP_Banh!$C:$X,17,FALSE),"")</f>
        <v>1254</v>
      </c>
      <c r="F24" s="54">
        <f t="shared" si="0"/>
        <v>988</v>
      </c>
      <c r="G24" s="54">
        <f t="shared" si="1"/>
        <v>78.787878787878782</v>
      </c>
      <c r="H24" s="54">
        <f t="shared" si="2"/>
        <v>-21.212121212121218</v>
      </c>
      <c r="I24" s="53">
        <f>_xlfn.IFNA(VLOOKUP($C24,QuyDoi_DonVi!$C:$S,6,FALSE)*$I$2,0)</f>
        <v>0</v>
      </c>
      <c r="J24" s="44">
        <f>_xlfn.IFNA(VLOOKUP($C24,QuyDoi_DonVi!$C:$S,8,FALSE)*$J$2,0)</f>
        <v>384</v>
      </c>
      <c r="K24" s="36">
        <f>_xlfn.IFNA(VLOOKUP($C24,QuyDoi_DonVi!$C:$S,9,FALSE),0)</f>
        <v>324</v>
      </c>
      <c r="L24" s="36">
        <f>_xlfn.IFNA(VLOOKUP($C24,QuyDoi_DonVi!$C:$S,11,FALSE)*$L$2,0)</f>
        <v>280</v>
      </c>
      <c r="M24" s="55">
        <f t="shared" si="3"/>
        <v>0</v>
      </c>
      <c r="N24" s="55">
        <f t="shared" si="4"/>
        <v>30.62200956937799</v>
      </c>
      <c r="O24" s="55">
        <f t="shared" si="5"/>
        <v>25.837320574162678</v>
      </c>
      <c r="P24" s="55">
        <f t="shared" si="6"/>
        <v>22.328548644338117</v>
      </c>
      <c r="Q24" s="55">
        <f t="shared" si="7"/>
        <v>0</v>
      </c>
      <c r="R24" s="55">
        <f t="shared" si="8"/>
        <v>384</v>
      </c>
      <c r="S24" s="55">
        <f t="shared" si="9"/>
        <v>324</v>
      </c>
      <c r="T24" s="55">
        <f t="shared" si="10"/>
        <v>280</v>
      </c>
      <c r="U24" s="36">
        <f>_xlfn.IFNA(VLOOKUP($C24,QuyDoi_DonVi!$C:$S,6,FALSE),0)</f>
        <v>0</v>
      </c>
      <c r="V24" s="57">
        <f t="shared" si="11"/>
        <v>0</v>
      </c>
      <c r="W24" s="40">
        <f t="shared" si="12"/>
        <v>0</v>
      </c>
    </row>
    <row r="25" spans="2:23" ht="15.6">
      <c r="B25" s="10" t="s">
        <v>97</v>
      </c>
      <c r="C25" s="9" t="s">
        <v>136</v>
      </c>
      <c r="D25" s="11" t="s">
        <v>137</v>
      </c>
      <c r="E25" s="43">
        <f>_xlfn.IFNA(VLOOKUP($C25,SOP_Banh!$C:$X,17,FALSE),"")</f>
        <v>580</v>
      </c>
      <c r="F25" s="54">
        <f t="shared" si="0"/>
        <v>612</v>
      </c>
      <c r="G25" s="54">
        <f t="shared" si="1"/>
        <v>105.51724137931035</v>
      </c>
      <c r="H25" s="54">
        <f t="shared" si="2"/>
        <v>5.5172413793103487</v>
      </c>
      <c r="I25" s="53">
        <f>_xlfn.IFNA(VLOOKUP($C25,QuyDoi_DonVi!$C:$S,6,FALSE)*$I$2,0)</f>
        <v>0</v>
      </c>
      <c r="J25" s="44">
        <f>_xlfn.IFNA(VLOOKUP($C25,QuyDoi_DonVi!$C:$S,8,FALSE)*$J$2,0)</f>
        <v>288</v>
      </c>
      <c r="K25" s="36">
        <f>_xlfn.IFNA(VLOOKUP($C25,QuyDoi_DonVi!$C:$S,9,FALSE),0)</f>
        <v>324</v>
      </c>
      <c r="L25" s="36">
        <f>_xlfn.IFNA(VLOOKUP($C25,QuyDoi_DonVi!$C:$S,11,FALSE)*$L$2,0)</f>
        <v>0</v>
      </c>
      <c r="M25" s="55">
        <f t="shared" si="3"/>
        <v>0</v>
      </c>
      <c r="N25" s="55">
        <f t="shared" si="4"/>
        <v>49.655172413793103</v>
      </c>
      <c r="O25" s="55">
        <f t="shared" si="5"/>
        <v>55.862068965517238</v>
      </c>
      <c r="P25" s="55">
        <f t="shared" si="6"/>
        <v>0</v>
      </c>
      <c r="Q25" s="55">
        <f t="shared" si="7"/>
        <v>0</v>
      </c>
      <c r="R25" s="55">
        <f t="shared" si="8"/>
        <v>288</v>
      </c>
      <c r="S25" s="55">
        <f t="shared" si="9"/>
        <v>324</v>
      </c>
      <c r="T25" s="55">
        <f t="shared" si="10"/>
        <v>0</v>
      </c>
      <c r="U25" s="36">
        <f>_xlfn.IFNA(VLOOKUP($C25,QuyDoi_DonVi!$C:$S,6,FALSE),0)</f>
        <v>0</v>
      </c>
      <c r="V25" s="57">
        <f t="shared" si="11"/>
        <v>0</v>
      </c>
      <c r="W25" s="40">
        <f t="shared" si="12"/>
        <v>0</v>
      </c>
    </row>
    <row r="26" spans="2:23" ht="15.6">
      <c r="B26" s="10" t="s">
        <v>97</v>
      </c>
      <c r="C26" s="9" t="s">
        <v>138</v>
      </c>
      <c r="D26" s="11" t="s">
        <v>139</v>
      </c>
      <c r="E26" s="43">
        <f>_xlfn.IFNA(VLOOKUP($C26,SOP_Banh!$C:$X,17,FALSE),"")</f>
        <v>1412</v>
      </c>
      <c r="F26" s="54">
        <f t="shared" si="0"/>
        <v>1172</v>
      </c>
      <c r="G26" s="54">
        <f t="shared" si="1"/>
        <v>83.002832861189802</v>
      </c>
      <c r="H26" s="54">
        <f t="shared" si="2"/>
        <v>-16.997167138810198</v>
      </c>
      <c r="I26" s="53">
        <f>_xlfn.IFNA(VLOOKUP($C26,QuyDoi_DonVi!$C:$S,6,FALSE)*$I$2,0)</f>
        <v>0</v>
      </c>
      <c r="J26" s="44">
        <f>_xlfn.IFNA(VLOOKUP($C26,QuyDoi_DonVi!$C:$S,8,FALSE)*$J$2,0)</f>
        <v>352</v>
      </c>
      <c r="K26" s="36">
        <f>_xlfn.IFNA(VLOOKUP($C26,QuyDoi_DonVi!$C:$S,9,FALSE),0)</f>
        <v>540</v>
      </c>
      <c r="L26" s="36">
        <f>_xlfn.IFNA(VLOOKUP($C26,QuyDoi_DonVi!$C:$S,11,FALSE)*$L$2,0)</f>
        <v>280</v>
      </c>
      <c r="M26" s="55">
        <f t="shared" si="3"/>
        <v>0</v>
      </c>
      <c r="N26" s="55">
        <f t="shared" si="4"/>
        <v>24.929178470254957</v>
      </c>
      <c r="O26" s="55">
        <f t="shared" si="5"/>
        <v>38.243626062322946</v>
      </c>
      <c r="P26" s="55">
        <f t="shared" si="6"/>
        <v>19.830028328611899</v>
      </c>
      <c r="Q26" s="55">
        <f t="shared" si="7"/>
        <v>0</v>
      </c>
      <c r="R26" s="55">
        <f t="shared" si="8"/>
        <v>352</v>
      </c>
      <c r="S26" s="55">
        <f t="shared" si="9"/>
        <v>540</v>
      </c>
      <c r="T26" s="55">
        <f t="shared" si="10"/>
        <v>280</v>
      </c>
      <c r="U26" s="36">
        <f>_xlfn.IFNA(VLOOKUP($C26,QuyDoi_DonVi!$C:$S,6,FALSE),0)</f>
        <v>0</v>
      </c>
      <c r="V26" s="57">
        <f t="shared" si="11"/>
        <v>0</v>
      </c>
      <c r="W26" s="40">
        <f t="shared" si="12"/>
        <v>0</v>
      </c>
    </row>
    <row r="27" spans="2:23" ht="15.6">
      <c r="B27" s="10" t="s">
        <v>97</v>
      </c>
      <c r="C27" s="9" t="s">
        <v>140</v>
      </c>
      <c r="D27" s="11" t="s">
        <v>141</v>
      </c>
      <c r="E27" s="43">
        <f>_xlfn.IFNA(VLOOKUP($C27,SOP_Banh!$C:$X,17,FALSE),"")</f>
        <v>2050</v>
      </c>
      <c r="F27" s="54">
        <f t="shared" si="0"/>
        <v>1910.3636363636363</v>
      </c>
      <c r="G27" s="54">
        <f t="shared" si="1"/>
        <v>93.188470066518832</v>
      </c>
      <c r="H27" s="54">
        <f t="shared" si="2"/>
        <v>-6.8115299334811681</v>
      </c>
      <c r="I27" s="53">
        <f>_xlfn.IFNA(VLOOKUP($C27,QuyDoi_DonVi!$C:$S,6,FALSE)*$I$2,0)</f>
        <v>1636.3636363636363</v>
      </c>
      <c r="J27" s="44">
        <f>_xlfn.IFNA(VLOOKUP($C27,QuyDoi_DonVi!$C:$S,8,FALSE)*$J$2,0)</f>
        <v>96</v>
      </c>
      <c r="K27" s="36">
        <f>_xlfn.IFNA(VLOOKUP($C27,QuyDoi_DonVi!$C:$S,9,FALSE),0)</f>
        <v>108</v>
      </c>
      <c r="L27" s="36">
        <f>_xlfn.IFNA(VLOOKUP($C27,QuyDoi_DonVi!$C:$S,11,FALSE)*$L$2,0)</f>
        <v>70</v>
      </c>
      <c r="M27" s="55">
        <f t="shared" si="3"/>
        <v>79.822616407982252</v>
      </c>
      <c r="N27" s="55">
        <f t="shared" si="4"/>
        <v>4.6829268292682924</v>
      </c>
      <c r="O27" s="55">
        <f t="shared" si="5"/>
        <v>5.2682926829268295</v>
      </c>
      <c r="P27" s="55">
        <f t="shared" si="6"/>
        <v>3.4146341463414633</v>
      </c>
      <c r="Q27" s="55">
        <f t="shared" si="7"/>
        <v>1636.3636363636363</v>
      </c>
      <c r="R27" s="55">
        <f t="shared" si="8"/>
        <v>96</v>
      </c>
      <c r="S27" s="55">
        <f t="shared" si="9"/>
        <v>108</v>
      </c>
      <c r="T27" s="55">
        <f t="shared" si="10"/>
        <v>70</v>
      </c>
      <c r="U27" s="36">
        <f>_xlfn.IFNA(VLOOKUP($C27,QuyDoi_DonVi!$C:$S,6,FALSE),0)</f>
        <v>25</v>
      </c>
      <c r="V27" s="57">
        <f t="shared" si="11"/>
        <v>4.5454545454545459</v>
      </c>
      <c r="W27" s="40">
        <f t="shared" si="12"/>
        <v>25</v>
      </c>
    </row>
    <row r="28" spans="2:23" ht="15.6">
      <c r="B28" s="10" t="s">
        <v>97</v>
      </c>
      <c r="C28" s="9" t="s">
        <v>142</v>
      </c>
      <c r="D28" s="11" t="s">
        <v>143</v>
      </c>
      <c r="E28" s="43">
        <f>_xlfn.IFNA(VLOOKUP($C28,SOP_Banh!$C:$X,17,FALSE),"")</f>
        <v>1024</v>
      </c>
      <c r="F28" s="54">
        <f t="shared" si="0"/>
        <v>2330.363636363636</v>
      </c>
      <c r="G28" s="54">
        <f t="shared" si="1"/>
        <v>227.57457386363632</v>
      </c>
      <c r="H28" s="54">
        <f t="shared" si="2"/>
        <v>127.57457386363632</v>
      </c>
      <c r="I28" s="53">
        <f>_xlfn.IFNA(VLOOKUP($C28,QuyDoi_DonVi!$C:$S,6,FALSE)*$I$2,0)</f>
        <v>1636.3636363636363</v>
      </c>
      <c r="J28" s="44">
        <f>_xlfn.IFNA(VLOOKUP($C28,QuyDoi_DonVi!$C:$S,8,FALSE)*$J$2,0)</f>
        <v>192</v>
      </c>
      <c r="K28" s="36">
        <f>_xlfn.IFNA(VLOOKUP($C28,QuyDoi_DonVi!$C:$S,9,FALSE),0)</f>
        <v>432</v>
      </c>
      <c r="L28" s="36">
        <f>_xlfn.IFNA(VLOOKUP($C28,QuyDoi_DonVi!$C:$S,11,FALSE)*$L$2,0)</f>
        <v>70</v>
      </c>
      <c r="M28" s="55">
        <f t="shared" si="3"/>
        <v>159.80113636363635</v>
      </c>
      <c r="N28" s="55">
        <f t="shared" si="4"/>
        <v>18.75</v>
      </c>
      <c r="O28" s="55">
        <f t="shared" si="5"/>
        <v>42.1875</v>
      </c>
      <c r="P28" s="55">
        <f t="shared" si="6"/>
        <v>6.8359375</v>
      </c>
      <c r="Q28" s="55">
        <f t="shared" si="7"/>
        <v>1636.3636363636363</v>
      </c>
      <c r="R28" s="55">
        <f t="shared" si="8"/>
        <v>192</v>
      </c>
      <c r="S28" s="55">
        <f t="shared" si="9"/>
        <v>432</v>
      </c>
      <c r="T28" s="55">
        <f t="shared" si="10"/>
        <v>70</v>
      </c>
      <c r="U28" s="36">
        <f>_xlfn.IFNA(VLOOKUP($C28,QuyDoi_DonVi!$C:$S,6,FALSE),0)</f>
        <v>25</v>
      </c>
      <c r="V28" s="57">
        <f t="shared" si="11"/>
        <v>4.5454545454545459</v>
      </c>
      <c r="W28" s="40">
        <f t="shared" si="12"/>
        <v>25</v>
      </c>
    </row>
    <row r="29" spans="2:23" ht="15.6">
      <c r="B29" s="10" t="s">
        <v>97</v>
      </c>
      <c r="C29" s="9" t="s">
        <v>144</v>
      </c>
      <c r="D29" s="11" t="s">
        <v>145</v>
      </c>
      <c r="E29" s="43">
        <f>_xlfn.IFNA(VLOOKUP($C29,SOP_Banh!$C:$X,17,FALSE),"")</f>
        <v>1182</v>
      </c>
      <c r="F29" s="54">
        <f t="shared" si="0"/>
        <v>2514.363636363636</v>
      </c>
      <c r="G29" s="54">
        <f t="shared" si="1"/>
        <v>212.72111982771878</v>
      </c>
      <c r="H29" s="54">
        <f t="shared" si="2"/>
        <v>112.72111982771878</v>
      </c>
      <c r="I29" s="53">
        <f>_xlfn.IFNA(VLOOKUP($C29,QuyDoi_DonVi!$C:$S,6,FALSE)*$I$2,0)</f>
        <v>1636.3636363636363</v>
      </c>
      <c r="J29" s="44">
        <f>_xlfn.IFNA(VLOOKUP($C29,QuyDoi_DonVi!$C:$S,8,FALSE)*$J$2,0)</f>
        <v>128</v>
      </c>
      <c r="K29" s="36">
        <f>_xlfn.IFNA(VLOOKUP($C29,QuyDoi_DonVi!$C:$S,9,FALSE),0)</f>
        <v>540</v>
      </c>
      <c r="L29" s="36">
        <f>_xlfn.IFNA(VLOOKUP($C29,QuyDoi_DonVi!$C:$S,11,FALSE)*$L$2,0)</f>
        <v>210</v>
      </c>
      <c r="M29" s="55">
        <f t="shared" si="3"/>
        <v>138.44023996308258</v>
      </c>
      <c r="N29" s="55">
        <f t="shared" si="4"/>
        <v>10.829103214890017</v>
      </c>
      <c r="O29" s="55">
        <f t="shared" si="5"/>
        <v>45.685279187817258</v>
      </c>
      <c r="P29" s="55">
        <f t="shared" si="6"/>
        <v>17.766497461928935</v>
      </c>
      <c r="Q29" s="55">
        <f t="shared" si="7"/>
        <v>1636.3636363636363</v>
      </c>
      <c r="R29" s="55">
        <f t="shared" si="8"/>
        <v>128</v>
      </c>
      <c r="S29" s="55">
        <f t="shared" si="9"/>
        <v>540</v>
      </c>
      <c r="T29" s="55">
        <f t="shared" si="10"/>
        <v>210</v>
      </c>
      <c r="U29" s="36">
        <f>_xlfn.IFNA(VLOOKUP($C29,QuyDoi_DonVi!$C:$S,6,FALSE),0)</f>
        <v>25</v>
      </c>
      <c r="V29" s="57">
        <f t="shared" si="11"/>
        <v>4.5454545454545459</v>
      </c>
      <c r="W29" s="40">
        <f t="shared" si="12"/>
        <v>25</v>
      </c>
    </row>
    <row r="30" spans="2:23" ht="15.6">
      <c r="B30" s="10" t="s">
        <v>97</v>
      </c>
      <c r="C30" s="9" t="s">
        <v>146</v>
      </c>
      <c r="D30" s="11" t="s">
        <v>147</v>
      </c>
      <c r="E30" s="43">
        <f>_xlfn.IFNA(VLOOKUP($C30,SOP_Banh!$C:$X,17,FALSE),"")</f>
        <v>832</v>
      </c>
      <c r="F30" s="54">
        <f t="shared" si="0"/>
        <v>570</v>
      </c>
      <c r="G30" s="54">
        <f t="shared" si="1"/>
        <v>68.509615384615387</v>
      </c>
      <c r="H30" s="54">
        <f t="shared" si="2"/>
        <v>-31.490384615384613</v>
      </c>
      <c r="I30" s="53">
        <f>_xlfn.IFNA(VLOOKUP($C30,QuyDoi_DonVi!$C:$S,6,FALSE)*$I$2,0)</f>
        <v>0</v>
      </c>
      <c r="J30" s="44">
        <f>_xlfn.IFNA(VLOOKUP($C30,QuyDoi_DonVi!$C:$S,8,FALSE)*$J$2,0)</f>
        <v>176</v>
      </c>
      <c r="K30" s="36">
        <f>_xlfn.IFNA(VLOOKUP($C30,QuyDoi_DonVi!$C:$S,9,FALSE),0)</f>
        <v>324</v>
      </c>
      <c r="L30" s="36">
        <f>_xlfn.IFNA(VLOOKUP($C30,QuyDoi_DonVi!$C:$S,11,FALSE)*$L$2,0)</f>
        <v>70</v>
      </c>
      <c r="M30" s="55">
        <f t="shared" si="3"/>
        <v>0</v>
      </c>
      <c r="N30" s="55">
        <f t="shared" si="4"/>
        <v>21.153846153846153</v>
      </c>
      <c r="O30" s="55">
        <f t="shared" si="5"/>
        <v>38.942307692307693</v>
      </c>
      <c r="P30" s="55">
        <f t="shared" si="6"/>
        <v>8.4134615384615383</v>
      </c>
      <c r="Q30" s="55">
        <f t="shared" si="7"/>
        <v>0</v>
      </c>
      <c r="R30" s="55">
        <f t="shared" si="8"/>
        <v>176</v>
      </c>
      <c r="S30" s="55">
        <f t="shared" si="9"/>
        <v>324</v>
      </c>
      <c r="T30" s="55">
        <f t="shared" si="10"/>
        <v>70</v>
      </c>
      <c r="U30" s="36">
        <f>_xlfn.IFNA(VLOOKUP($C30,QuyDoi_DonVi!$C:$S,6,FALSE),0)</f>
        <v>0</v>
      </c>
      <c r="V30" s="57">
        <f t="shared" si="11"/>
        <v>0</v>
      </c>
      <c r="W30" s="40">
        <f t="shared" si="12"/>
        <v>0</v>
      </c>
    </row>
    <row r="31" spans="2:23" ht="15.6">
      <c r="B31" s="10" t="s">
        <v>97</v>
      </c>
      <c r="C31" s="9" t="s">
        <v>148</v>
      </c>
      <c r="D31" s="11" t="s">
        <v>149</v>
      </c>
      <c r="E31" s="43">
        <f>_xlfn.IFNA(VLOOKUP($C31,SOP_Banh!$C:$X,17,FALSE),"")</f>
        <v>1676</v>
      </c>
      <c r="F31" s="54">
        <f t="shared" si="0"/>
        <v>648</v>
      </c>
      <c r="G31" s="54">
        <f t="shared" si="1"/>
        <v>38.663484486873507</v>
      </c>
      <c r="H31" s="54">
        <f t="shared" si="2"/>
        <v>-61.336515513126493</v>
      </c>
      <c r="I31" s="53">
        <f>_xlfn.IFNA(VLOOKUP($C31,QuyDoi_DonVi!$C:$S,6,FALSE)*$I$2,0)</f>
        <v>0</v>
      </c>
      <c r="J31" s="44">
        <f>_xlfn.IFNA(VLOOKUP($C31,QuyDoi_DonVi!$C:$S,8,FALSE)*$J$2,0)</f>
        <v>0</v>
      </c>
      <c r="K31" s="36">
        <f>_xlfn.IFNA(VLOOKUP($C31,QuyDoi_DonVi!$C:$S,9,FALSE),0)</f>
        <v>648</v>
      </c>
      <c r="L31" s="36">
        <f>_xlfn.IFNA(VLOOKUP($C31,QuyDoi_DonVi!$C:$S,11,FALSE)*$L$2,0)</f>
        <v>0</v>
      </c>
      <c r="M31" s="55">
        <f t="shared" si="3"/>
        <v>0</v>
      </c>
      <c r="N31" s="55">
        <f t="shared" si="4"/>
        <v>0</v>
      </c>
      <c r="O31" s="55">
        <f t="shared" si="5"/>
        <v>38.663484486873507</v>
      </c>
      <c r="P31" s="55">
        <f t="shared" si="6"/>
        <v>0</v>
      </c>
      <c r="Q31" s="55">
        <f t="shared" si="7"/>
        <v>0</v>
      </c>
      <c r="R31" s="55">
        <f t="shared" si="8"/>
        <v>0</v>
      </c>
      <c r="S31" s="55">
        <f t="shared" si="9"/>
        <v>648</v>
      </c>
      <c r="T31" s="55">
        <f t="shared" si="10"/>
        <v>0</v>
      </c>
      <c r="U31" s="36">
        <f>_xlfn.IFNA(VLOOKUP($C31,QuyDoi_DonVi!$C:$S,6,FALSE),0)</f>
        <v>0</v>
      </c>
      <c r="V31" s="57">
        <f t="shared" si="11"/>
        <v>0</v>
      </c>
      <c r="W31" s="40">
        <f t="shared" si="12"/>
        <v>0</v>
      </c>
    </row>
    <row r="32" spans="2:23" ht="15.6">
      <c r="B32" s="10" t="s">
        <v>97</v>
      </c>
      <c r="C32" s="9" t="s">
        <v>150</v>
      </c>
      <c r="D32" s="11" t="s">
        <v>151</v>
      </c>
      <c r="E32" s="43">
        <f>_xlfn.IFNA(VLOOKUP($C32,SOP_Banh!$C:$X,17,FALSE),"")</f>
        <v>1846</v>
      </c>
      <c r="F32" s="54">
        <f t="shared" si="0"/>
        <v>432</v>
      </c>
      <c r="G32" s="54">
        <f t="shared" si="1"/>
        <v>23.401950162513543</v>
      </c>
      <c r="H32" s="54">
        <f t="shared" si="2"/>
        <v>-76.598049837486457</v>
      </c>
      <c r="I32" s="53">
        <f>_xlfn.IFNA(VLOOKUP($C32,QuyDoi_DonVi!$C:$S,6,FALSE)*$I$2,0)</f>
        <v>0</v>
      </c>
      <c r="J32" s="44">
        <f>_xlfn.IFNA(VLOOKUP($C32,QuyDoi_DonVi!$C:$S,8,FALSE)*$J$2,0)</f>
        <v>0</v>
      </c>
      <c r="K32" s="36">
        <f>_xlfn.IFNA(VLOOKUP($C32,QuyDoi_DonVi!$C:$S,9,FALSE),0)</f>
        <v>432</v>
      </c>
      <c r="L32" s="36">
        <f>_xlfn.IFNA(VLOOKUP($C32,QuyDoi_DonVi!$C:$S,11,FALSE)*$L$2,0)</f>
        <v>0</v>
      </c>
      <c r="M32" s="55">
        <f t="shared" si="3"/>
        <v>0</v>
      </c>
      <c r="N32" s="55">
        <f t="shared" si="4"/>
        <v>0</v>
      </c>
      <c r="O32" s="55">
        <f t="shared" si="5"/>
        <v>23.401950162513543</v>
      </c>
      <c r="P32" s="55">
        <f t="shared" si="6"/>
        <v>0</v>
      </c>
      <c r="Q32" s="55">
        <f t="shared" si="7"/>
        <v>0</v>
      </c>
      <c r="R32" s="55">
        <f t="shared" si="8"/>
        <v>0</v>
      </c>
      <c r="S32" s="55">
        <f t="shared" si="9"/>
        <v>432</v>
      </c>
      <c r="T32" s="55">
        <f t="shared" si="10"/>
        <v>0</v>
      </c>
      <c r="U32" s="36">
        <f>_xlfn.IFNA(VLOOKUP($C32,QuyDoi_DonVi!$C:$S,6,FALSE),0)</f>
        <v>0</v>
      </c>
      <c r="V32" s="57">
        <f t="shared" si="11"/>
        <v>0</v>
      </c>
      <c r="W32" s="40">
        <f t="shared" si="12"/>
        <v>0</v>
      </c>
    </row>
    <row r="33" spans="2:23" ht="15.6">
      <c r="B33" s="10" t="s">
        <v>97</v>
      </c>
      <c r="C33" s="9" t="s">
        <v>152</v>
      </c>
      <c r="D33" s="11" t="s">
        <v>153</v>
      </c>
      <c r="E33" s="43">
        <f>_xlfn.IFNA(VLOOKUP($C33,SOP_Banh!$C:$X,17,FALSE),"")</f>
        <v>1090</v>
      </c>
      <c r="F33" s="54">
        <f t="shared" si="0"/>
        <v>2392.363636363636</v>
      </c>
      <c r="G33" s="54">
        <f t="shared" si="1"/>
        <v>219.48290241868219</v>
      </c>
      <c r="H33" s="54">
        <f t="shared" si="2"/>
        <v>119.48290241868219</v>
      </c>
      <c r="I33" s="53">
        <f>_xlfn.IFNA(VLOOKUP($C33,QuyDoi_DonVi!$C:$S,6,FALSE)*$I$2,0)</f>
        <v>1636.3636363636363</v>
      </c>
      <c r="J33" s="44">
        <f>_xlfn.IFNA(VLOOKUP($C33,QuyDoi_DonVi!$C:$S,8,FALSE)*$J$2,0)</f>
        <v>0</v>
      </c>
      <c r="K33" s="36">
        <f>_xlfn.IFNA(VLOOKUP($C33,QuyDoi_DonVi!$C:$S,9,FALSE),0)</f>
        <v>756</v>
      </c>
      <c r="L33" s="36">
        <f>_xlfn.IFNA(VLOOKUP($C33,QuyDoi_DonVi!$C:$S,11,FALSE)*$L$2,0)</f>
        <v>0</v>
      </c>
      <c r="M33" s="55">
        <f t="shared" si="3"/>
        <v>150.12510425354461</v>
      </c>
      <c r="N33" s="55">
        <f t="shared" si="4"/>
        <v>0</v>
      </c>
      <c r="O33" s="55">
        <f t="shared" si="5"/>
        <v>69.357798165137609</v>
      </c>
      <c r="P33" s="55">
        <f t="shared" si="6"/>
        <v>0</v>
      </c>
      <c r="Q33" s="55">
        <f t="shared" si="7"/>
        <v>1636.3636363636363</v>
      </c>
      <c r="R33" s="55">
        <f t="shared" si="8"/>
        <v>0</v>
      </c>
      <c r="S33" s="55">
        <f t="shared" si="9"/>
        <v>756</v>
      </c>
      <c r="T33" s="55">
        <f t="shared" si="10"/>
        <v>0</v>
      </c>
      <c r="U33" s="36">
        <f>_xlfn.IFNA(VLOOKUP($C33,QuyDoi_DonVi!$C:$S,6,FALSE),0)</f>
        <v>25</v>
      </c>
      <c r="V33" s="57">
        <f t="shared" si="11"/>
        <v>4.5454545454545459</v>
      </c>
      <c r="W33" s="40">
        <f t="shared" si="12"/>
        <v>25</v>
      </c>
    </row>
    <row r="34" spans="2:23" ht="15.6">
      <c r="B34" s="10" t="s">
        <v>97</v>
      </c>
      <c r="C34" s="9" t="s">
        <v>154</v>
      </c>
      <c r="D34" s="11" t="s">
        <v>155</v>
      </c>
      <c r="E34" s="43">
        <f>_xlfn.IFNA(VLOOKUP($C34,SOP_Banh!$C:$X,17,FALSE),"")</f>
        <v>2290</v>
      </c>
      <c r="F34" s="54">
        <f t="shared" si="0"/>
        <v>3044.363636363636</v>
      </c>
      <c r="G34" s="54">
        <f t="shared" si="1"/>
        <v>132.94164350932908</v>
      </c>
      <c r="H34" s="54">
        <f t="shared" si="2"/>
        <v>32.941643509329083</v>
      </c>
      <c r="I34" s="53">
        <f>_xlfn.IFNA(VLOOKUP($C34,QuyDoi_DonVi!$C:$S,6,FALSE)*$I$2,0)</f>
        <v>1636.3636363636363</v>
      </c>
      <c r="J34" s="44">
        <f>_xlfn.IFNA(VLOOKUP($C34,QuyDoi_DonVi!$C:$S,8,FALSE)*$J$2,0)</f>
        <v>480</v>
      </c>
      <c r="K34" s="36">
        <f>_xlfn.IFNA(VLOOKUP($C34,QuyDoi_DonVi!$C:$S,9,FALSE),0)</f>
        <v>648</v>
      </c>
      <c r="L34" s="36">
        <f>_xlfn.IFNA(VLOOKUP($C34,QuyDoi_DonVi!$C:$S,11,FALSE)*$L$2,0)</f>
        <v>280</v>
      </c>
      <c r="M34" s="55">
        <f t="shared" si="3"/>
        <v>71.456927352123856</v>
      </c>
      <c r="N34" s="55">
        <f t="shared" si="4"/>
        <v>20.960698689956331</v>
      </c>
      <c r="O34" s="55">
        <f t="shared" si="5"/>
        <v>28.296943231441048</v>
      </c>
      <c r="P34" s="55">
        <f t="shared" si="6"/>
        <v>12.22707423580786</v>
      </c>
      <c r="Q34" s="55">
        <f t="shared" si="7"/>
        <v>1636.3636363636363</v>
      </c>
      <c r="R34" s="55">
        <f t="shared" si="8"/>
        <v>480</v>
      </c>
      <c r="S34" s="55">
        <f t="shared" si="9"/>
        <v>648</v>
      </c>
      <c r="T34" s="55">
        <f t="shared" si="10"/>
        <v>280</v>
      </c>
      <c r="U34" s="36">
        <f>_xlfn.IFNA(VLOOKUP($C34,QuyDoi_DonVi!$C:$S,6,FALSE),0)</f>
        <v>25</v>
      </c>
      <c r="V34" s="57">
        <f t="shared" si="11"/>
        <v>4.5454545454545459</v>
      </c>
      <c r="W34" s="40">
        <f t="shared" si="12"/>
        <v>25</v>
      </c>
    </row>
    <row r="35" spans="2:23" ht="15.6">
      <c r="B35" s="10" t="s">
        <v>97</v>
      </c>
      <c r="C35" s="9" t="s">
        <v>156</v>
      </c>
      <c r="D35" s="11" t="s">
        <v>157</v>
      </c>
      <c r="E35" s="43">
        <f>_xlfn.IFNA(VLOOKUP($C35,SOP_Banh!$C:$X,17,FALSE),"")</f>
        <v>362</v>
      </c>
      <c r="F35" s="54">
        <f t="shared" si="0"/>
        <v>242</v>
      </c>
      <c r="G35" s="54">
        <f t="shared" si="1"/>
        <v>66.850828729281773</v>
      </c>
      <c r="H35" s="54">
        <f t="shared" si="2"/>
        <v>-33.149171270718227</v>
      </c>
      <c r="I35" s="53">
        <f>_xlfn.IFNA(VLOOKUP($C35,QuyDoi_DonVi!$C:$S,6,FALSE)*$I$2,0)</f>
        <v>0</v>
      </c>
      <c r="J35" s="44">
        <f>_xlfn.IFNA(VLOOKUP($C35,QuyDoi_DonVi!$C:$S,8,FALSE)*$J$2,0)</f>
        <v>64</v>
      </c>
      <c r="K35" s="36">
        <f>_xlfn.IFNA(VLOOKUP($C35,QuyDoi_DonVi!$C:$S,9,FALSE),0)</f>
        <v>108</v>
      </c>
      <c r="L35" s="36">
        <f>_xlfn.IFNA(VLOOKUP($C35,QuyDoi_DonVi!$C:$S,11,FALSE)*$L$2,0)</f>
        <v>70</v>
      </c>
      <c r="M35" s="55">
        <f t="shared" si="3"/>
        <v>0</v>
      </c>
      <c r="N35" s="55">
        <f t="shared" si="4"/>
        <v>17.679558011049725</v>
      </c>
      <c r="O35" s="55">
        <f t="shared" si="5"/>
        <v>29.834254143646408</v>
      </c>
      <c r="P35" s="55">
        <f t="shared" si="6"/>
        <v>19.337016574585636</v>
      </c>
      <c r="Q35" s="55">
        <f t="shared" si="7"/>
        <v>0</v>
      </c>
      <c r="R35" s="55">
        <f t="shared" si="8"/>
        <v>64</v>
      </c>
      <c r="S35" s="55">
        <f t="shared" si="9"/>
        <v>108</v>
      </c>
      <c r="T35" s="55">
        <f t="shared" si="10"/>
        <v>70</v>
      </c>
      <c r="U35" s="36">
        <f>_xlfn.IFNA(VLOOKUP($C35,QuyDoi_DonVi!$C:$S,6,FALSE),0)</f>
        <v>0</v>
      </c>
      <c r="V35" s="57">
        <f t="shared" si="11"/>
        <v>0</v>
      </c>
      <c r="W35" s="40">
        <f t="shared" si="12"/>
        <v>0</v>
      </c>
    </row>
    <row r="36" spans="2:23" ht="15.6">
      <c r="B36" s="10" t="s">
        <v>93</v>
      </c>
      <c r="C36" s="9" t="s">
        <v>158</v>
      </c>
      <c r="D36" s="11" t="s">
        <v>159</v>
      </c>
      <c r="E36" s="43">
        <f>_xlfn.IFNA(VLOOKUP($C36,SOP_Banh!$C:$X,17,FALSE),"")</f>
        <v>2986</v>
      </c>
      <c r="F36" s="54">
        <f t="shared" si="0"/>
        <v>2450.363636363636</v>
      </c>
      <c r="G36" s="54">
        <f t="shared" si="1"/>
        <v>82.061742677951642</v>
      </c>
      <c r="H36" s="54">
        <f t="shared" si="2"/>
        <v>-17.938257322048358</v>
      </c>
      <c r="I36" s="53">
        <f>_xlfn.IFNA(VLOOKUP($C36,QuyDoi_DonVi!$C:$S,6,FALSE)*$I$2,0)</f>
        <v>1636.3636363636363</v>
      </c>
      <c r="J36" s="44">
        <f>_xlfn.IFNA(VLOOKUP($C36,QuyDoi_DonVi!$C:$S,8,FALSE)*$J$2,0)</f>
        <v>64</v>
      </c>
      <c r="K36" s="36">
        <f>_xlfn.IFNA(VLOOKUP($C36,QuyDoi_DonVi!$C:$S,9,FALSE),0)</f>
        <v>540</v>
      </c>
      <c r="L36" s="36">
        <f>_xlfn.IFNA(VLOOKUP($C36,QuyDoi_DonVi!$C:$S,11,FALSE)*$L$2,0)</f>
        <v>210</v>
      </c>
      <c r="M36" s="55">
        <f t="shared" si="3"/>
        <v>54.801193448212864</v>
      </c>
      <c r="N36" s="55">
        <f t="shared" si="4"/>
        <v>2.1433355659745481</v>
      </c>
      <c r="O36" s="55">
        <f t="shared" si="5"/>
        <v>18.084393837910248</v>
      </c>
      <c r="P36" s="55">
        <f t="shared" si="6"/>
        <v>7.0328198258539851</v>
      </c>
      <c r="Q36" s="55">
        <f t="shared" si="7"/>
        <v>1636.3636363636363</v>
      </c>
      <c r="R36" s="55">
        <f t="shared" si="8"/>
        <v>64.000000000000014</v>
      </c>
      <c r="S36" s="55">
        <f t="shared" si="9"/>
        <v>540</v>
      </c>
      <c r="T36" s="55">
        <f t="shared" si="10"/>
        <v>210</v>
      </c>
      <c r="U36" s="36">
        <f>_xlfn.IFNA(VLOOKUP($C36,QuyDoi_DonVi!$C:$S,6,FALSE),0)</f>
        <v>25</v>
      </c>
      <c r="V36" s="57">
        <f t="shared" si="11"/>
        <v>4.5454545454545459</v>
      </c>
      <c r="W36" s="40">
        <f t="shared" si="12"/>
        <v>25</v>
      </c>
    </row>
    <row r="37" spans="2:23" ht="15.6">
      <c r="B37" s="10" t="s">
        <v>93</v>
      </c>
      <c r="C37" s="9" t="s">
        <v>160</v>
      </c>
      <c r="D37" s="11" t="s">
        <v>161</v>
      </c>
      <c r="E37" s="43">
        <f>_xlfn.IFNA(VLOOKUP($C37,SOP_Banh!$C:$X,17,FALSE),"")</f>
        <v>2758</v>
      </c>
      <c r="F37" s="54">
        <f t="shared" si="0"/>
        <v>3120.363636363636</v>
      </c>
      <c r="G37" s="54">
        <f t="shared" si="1"/>
        <v>113.13863801173444</v>
      </c>
      <c r="H37" s="54">
        <f t="shared" si="2"/>
        <v>13.138638011734443</v>
      </c>
      <c r="I37" s="53">
        <f>_xlfn.IFNA(VLOOKUP($C37,QuyDoi_DonVi!$C:$S,6,FALSE)*$I$2,0)</f>
        <v>1636.3636363636363</v>
      </c>
      <c r="J37" s="44">
        <f>_xlfn.IFNA(VLOOKUP($C37,QuyDoi_DonVi!$C:$S,8,FALSE)*$J$2,0)</f>
        <v>512</v>
      </c>
      <c r="K37" s="36">
        <f>_xlfn.IFNA(VLOOKUP($C37,QuyDoi_DonVi!$C:$S,9,FALSE),0)</f>
        <v>972</v>
      </c>
      <c r="L37" s="36">
        <f>_xlfn.IFNA(VLOOKUP($C37,QuyDoi_DonVi!$C:$S,11,FALSE)*$L$2,0)</f>
        <v>0</v>
      </c>
      <c r="M37" s="55">
        <f t="shared" si="3"/>
        <v>59.331531412749683</v>
      </c>
      <c r="N37" s="55">
        <f t="shared" si="4"/>
        <v>18.564176939811457</v>
      </c>
      <c r="O37" s="55">
        <f t="shared" si="5"/>
        <v>35.242929659173313</v>
      </c>
      <c r="P37" s="55">
        <f t="shared" si="6"/>
        <v>0</v>
      </c>
      <c r="Q37" s="55">
        <f t="shared" si="7"/>
        <v>1636.3636363636363</v>
      </c>
      <c r="R37" s="55">
        <f t="shared" si="8"/>
        <v>512</v>
      </c>
      <c r="S37" s="55">
        <f t="shared" si="9"/>
        <v>972</v>
      </c>
      <c r="T37" s="55">
        <f t="shared" si="10"/>
        <v>0</v>
      </c>
      <c r="U37" s="36">
        <f>_xlfn.IFNA(VLOOKUP($C37,QuyDoi_DonVi!$C:$S,6,FALSE),0)</f>
        <v>25</v>
      </c>
      <c r="V37" s="57">
        <f t="shared" si="11"/>
        <v>4.5454545454545459</v>
      </c>
      <c r="W37" s="40">
        <f t="shared" si="12"/>
        <v>25</v>
      </c>
    </row>
    <row r="38" spans="2:23" ht="15.6">
      <c r="B38" s="10" t="s">
        <v>93</v>
      </c>
      <c r="C38" s="9" t="s">
        <v>162</v>
      </c>
      <c r="D38" s="11" t="s">
        <v>163</v>
      </c>
      <c r="E38" s="43">
        <f>_xlfn.IFNA(VLOOKUP($C38,SOP_Banh!$C:$X,17,FALSE),"")</f>
        <v>736</v>
      </c>
      <c r="F38" s="54">
        <f t="shared" si="0"/>
        <v>624</v>
      </c>
      <c r="G38" s="54">
        <f t="shared" si="1"/>
        <v>84.782608695652172</v>
      </c>
      <c r="H38" s="54">
        <f t="shared" si="2"/>
        <v>-15.217391304347828</v>
      </c>
      <c r="I38" s="53">
        <f>_xlfn.IFNA(VLOOKUP($C38,QuyDoi_DonVi!$C:$S,6,FALSE)*$I$2,0)</f>
        <v>0</v>
      </c>
      <c r="J38" s="44">
        <f>_xlfn.IFNA(VLOOKUP($C38,QuyDoi_DonVi!$C:$S,8,FALSE)*$J$2,0)</f>
        <v>160</v>
      </c>
      <c r="K38" s="36">
        <f>_xlfn.IFNA(VLOOKUP($C38,QuyDoi_DonVi!$C:$S,9,FALSE),0)</f>
        <v>324</v>
      </c>
      <c r="L38" s="36">
        <f>_xlfn.IFNA(VLOOKUP($C38,QuyDoi_DonVi!$C:$S,11,FALSE)*$L$2,0)</f>
        <v>140</v>
      </c>
      <c r="M38" s="55">
        <f t="shared" si="3"/>
        <v>0</v>
      </c>
      <c r="N38" s="55">
        <f t="shared" si="4"/>
        <v>21.739130434782609</v>
      </c>
      <c r="O38" s="55">
        <f t="shared" si="5"/>
        <v>44.021739130434781</v>
      </c>
      <c r="P38" s="55">
        <f t="shared" si="6"/>
        <v>19.021739130434781</v>
      </c>
      <c r="Q38" s="55">
        <f t="shared" si="7"/>
        <v>0</v>
      </c>
      <c r="R38" s="55">
        <f t="shared" si="8"/>
        <v>160</v>
      </c>
      <c r="S38" s="55">
        <f t="shared" si="9"/>
        <v>324</v>
      </c>
      <c r="T38" s="55">
        <f t="shared" si="10"/>
        <v>140</v>
      </c>
      <c r="U38" s="36">
        <f>_xlfn.IFNA(VLOOKUP($C38,QuyDoi_DonVi!$C:$S,6,FALSE),0)</f>
        <v>0</v>
      </c>
      <c r="V38" s="57">
        <f t="shared" si="11"/>
        <v>0</v>
      </c>
      <c r="W38" s="40">
        <f t="shared" si="12"/>
        <v>0</v>
      </c>
    </row>
    <row r="39" spans="2:23" ht="15.6">
      <c r="B39" s="10" t="s">
        <v>93</v>
      </c>
      <c r="C39" s="9" t="s">
        <v>164</v>
      </c>
      <c r="D39" s="11" t="s">
        <v>165</v>
      </c>
      <c r="E39" s="43">
        <f>_xlfn.IFNA(VLOOKUP($C39,SOP_Banh!$C:$X,17,FALSE),"")</f>
        <v>2202</v>
      </c>
      <c r="F39" s="54">
        <f t="shared" si="0"/>
        <v>2668.363636363636</v>
      </c>
      <c r="G39" s="54">
        <f t="shared" si="1"/>
        <v>121.17909338617784</v>
      </c>
      <c r="H39" s="54">
        <f t="shared" si="2"/>
        <v>21.17909338617784</v>
      </c>
      <c r="I39" s="53">
        <f>_xlfn.IFNA(VLOOKUP($C39,QuyDoi_DonVi!$C:$S,6,FALSE)*$I$2,0)</f>
        <v>1636.3636363636363</v>
      </c>
      <c r="J39" s="44">
        <f>_xlfn.IFNA(VLOOKUP($C39,QuyDoi_DonVi!$C:$S,8,FALSE)*$J$2,0)</f>
        <v>384</v>
      </c>
      <c r="K39" s="36">
        <f>_xlfn.IFNA(VLOOKUP($C39,QuyDoi_DonVi!$C:$S,9,FALSE),0)</f>
        <v>648</v>
      </c>
      <c r="L39" s="36">
        <f>_xlfn.IFNA(VLOOKUP($C39,QuyDoi_DonVi!$C:$S,11,FALSE)*$L$2,0)</f>
        <v>0</v>
      </c>
      <c r="M39" s="55">
        <f t="shared" si="3"/>
        <v>74.312608372553868</v>
      </c>
      <c r="N39" s="55">
        <f t="shared" si="4"/>
        <v>17.438692098092645</v>
      </c>
      <c r="O39" s="55">
        <f t="shared" si="5"/>
        <v>29.427792915531334</v>
      </c>
      <c r="P39" s="55">
        <f t="shared" si="6"/>
        <v>0</v>
      </c>
      <c r="Q39" s="55">
        <f t="shared" si="7"/>
        <v>1636.3636363636363</v>
      </c>
      <c r="R39" s="55">
        <f t="shared" si="8"/>
        <v>384.00000000000006</v>
      </c>
      <c r="S39" s="55">
        <f t="shared" si="9"/>
        <v>648</v>
      </c>
      <c r="T39" s="55">
        <f t="shared" si="10"/>
        <v>0</v>
      </c>
      <c r="U39" s="36">
        <f>_xlfn.IFNA(VLOOKUP($C39,QuyDoi_DonVi!$C:$S,6,FALSE),0)</f>
        <v>25</v>
      </c>
      <c r="V39" s="57">
        <f t="shared" si="11"/>
        <v>4.5454545454545459</v>
      </c>
      <c r="W39" s="40">
        <f t="shared" si="12"/>
        <v>25</v>
      </c>
    </row>
    <row r="40" spans="2:23" ht="15.6">
      <c r="B40" s="10" t="s">
        <v>93</v>
      </c>
      <c r="C40" s="9" t="s">
        <v>166</v>
      </c>
      <c r="D40" s="11" t="s">
        <v>167</v>
      </c>
      <c r="E40" s="43">
        <f>_xlfn.IFNA(VLOOKUP($C40,SOP_Banh!$C:$X,17,FALSE),"")</f>
        <v>2590</v>
      </c>
      <c r="F40" s="54">
        <f t="shared" si="0"/>
        <v>3082.363636363636</v>
      </c>
      <c r="G40" s="54">
        <f t="shared" si="1"/>
        <v>119.01017901017899</v>
      </c>
      <c r="H40" s="54">
        <f t="shared" si="2"/>
        <v>19.010179010178987</v>
      </c>
      <c r="I40" s="53">
        <f>_xlfn.IFNA(VLOOKUP($C40,QuyDoi_DonVi!$C:$S,6,FALSE)*$I$2,0)</f>
        <v>1636.3636363636363</v>
      </c>
      <c r="J40" s="44">
        <f>_xlfn.IFNA(VLOOKUP($C40,QuyDoi_DonVi!$C:$S,8,FALSE)*$J$2,0)</f>
        <v>448</v>
      </c>
      <c r="K40" s="36">
        <f>_xlfn.IFNA(VLOOKUP($C40,QuyDoi_DonVi!$C:$S,9,FALSE),0)</f>
        <v>648</v>
      </c>
      <c r="L40" s="36">
        <f>_xlfn.IFNA(VLOOKUP($C40,QuyDoi_DonVi!$C:$S,11,FALSE)*$L$2,0)</f>
        <v>350</v>
      </c>
      <c r="M40" s="55">
        <f t="shared" si="3"/>
        <v>63.180063180063172</v>
      </c>
      <c r="N40" s="55">
        <f t="shared" si="4"/>
        <v>17.297297297297298</v>
      </c>
      <c r="O40" s="55">
        <f t="shared" si="5"/>
        <v>25.019305019305019</v>
      </c>
      <c r="P40" s="55">
        <f t="shared" si="6"/>
        <v>13.513513513513514</v>
      </c>
      <c r="Q40" s="55">
        <f t="shared" si="7"/>
        <v>1636.3636363636363</v>
      </c>
      <c r="R40" s="55">
        <f t="shared" si="8"/>
        <v>448</v>
      </c>
      <c r="S40" s="55">
        <f t="shared" si="9"/>
        <v>648</v>
      </c>
      <c r="T40" s="55">
        <f t="shared" si="10"/>
        <v>350</v>
      </c>
      <c r="U40" s="36">
        <f>_xlfn.IFNA(VLOOKUP($C40,QuyDoi_DonVi!$C:$S,6,FALSE),0)</f>
        <v>25</v>
      </c>
      <c r="V40" s="57">
        <f t="shared" si="11"/>
        <v>4.5454545454545459</v>
      </c>
      <c r="W40" s="40">
        <f t="shared" si="12"/>
        <v>25</v>
      </c>
    </row>
    <row r="41" spans="2:23" ht="15.6">
      <c r="B41" s="10" t="s">
        <v>93</v>
      </c>
      <c r="C41" s="9" t="s">
        <v>168</v>
      </c>
      <c r="D41" s="11" t="s">
        <v>169</v>
      </c>
      <c r="E41" s="43">
        <f>_xlfn.IFNA(VLOOKUP($C41,SOP_Banh!$C:$X,17,FALSE),"")</f>
        <v>1098</v>
      </c>
      <c r="F41" s="54">
        <f t="shared" si="0"/>
        <v>834</v>
      </c>
      <c r="G41" s="54">
        <f t="shared" si="1"/>
        <v>75.95628415300547</v>
      </c>
      <c r="H41" s="54">
        <f t="shared" si="2"/>
        <v>-24.04371584699453</v>
      </c>
      <c r="I41" s="53">
        <f>_xlfn.IFNA(VLOOKUP($C41,QuyDoi_DonVi!$C:$S,6,FALSE)*$I$2,0)</f>
        <v>0</v>
      </c>
      <c r="J41" s="44">
        <f>_xlfn.IFNA(VLOOKUP($C41,QuyDoi_DonVi!$C:$S,8,FALSE)*$J$2,0)</f>
        <v>192</v>
      </c>
      <c r="K41" s="36">
        <f>_xlfn.IFNA(VLOOKUP($C41,QuyDoi_DonVi!$C:$S,9,FALSE),0)</f>
        <v>432</v>
      </c>
      <c r="L41" s="36">
        <f>_xlfn.IFNA(VLOOKUP($C41,QuyDoi_DonVi!$C:$S,11,FALSE)*$L$2,0)</f>
        <v>210</v>
      </c>
      <c r="M41" s="55">
        <f t="shared" si="3"/>
        <v>0</v>
      </c>
      <c r="N41" s="55">
        <f t="shared" si="4"/>
        <v>17.486338797814209</v>
      </c>
      <c r="O41" s="55">
        <f t="shared" si="5"/>
        <v>39.344262295081968</v>
      </c>
      <c r="P41" s="55">
        <f t="shared" si="6"/>
        <v>19.125683060109289</v>
      </c>
      <c r="Q41" s="55">
        <f t="shared" si="7"/>
        <v>0</v>
      </c>
      <c r="R41" s="55">
        <f t="shared" si="8"/>
        <v>192</v>
      </c>
      <c r="S41" s="55">
        <f t="shared" si="9"/>
        <v>432</v>
      </c>
      <c r="T41" s="55">
        <f t="shared" si="10"/>
        <v>210</v>
      </c>
      <c r="U41" s="36">
        <f>_xlfn.IFNA(VLOOKUP($C41,QuyDoi_DonVi!$C:$S,6,FALSE),0)</f>
        <v>0</v>
      </c>
      <c r="V41" s="57">
        <f t="shared" si="11"/>
        <v>0</v>
      </c>
      <c r="W41" s="40">
        <f t="shared" si="12"/>
        <v>0</v>
      </c>
    </row>
    <row r="42" spans="2:23" ht="15.6">
      <c r="B42" s="10" t="s">
        <v>93</v>
      </c>
      <c r="C42" s="9" t="s">
        <v>170</v>
      </c>
      <c r="D42" s="11" t="s">
        <v>171</v>
      </c>
      <c r="E42" s="43">
        <f>_xlfn.IFNA(VLOOKUP($C42,SOP_Banh!$C:$X,17,FALSE),"")</f>
        <v>988</v>
      </c>
      <c r="F42" s="54">
        <f t="shared" si="0"/>
        <v>600</v>
      </c>
      <c r="G42" s="54">
        <f t="shared" si="1"/>
        <v>60.728744939271252</v>
      </c>
      <c r="H42" s="54">
        <f t="shared" si="2"/>
        <v>-39.271255060728748</v>
      </c>
      <c r="I42" s="53">
        <f>_xlfn.IFNA(VLOOKUP($C42,QuyDoi_DonVi!$C:$S,6,FALSE)*$I$2,0)</f>
        <v>0</v>
      </c>
      <c r="J42" s="44">
        <f>_xlfn.IFNA(VLOOKUP($C42,QuyDoi_DonVi!$C:$S,8,FALSE)*$J$2,0)</f>
        <v>384</v>
      </c>
      <c r="K42" s="36">
        <f>_xlfn.IFNA(VLOOKUP($C42,QuyDoi_DonVi!$C:$S,9,FALSE),0)</f>
        <v>216</v>
      </c>
      <c r="L42" s="36">
        <f>_xlfn.IFNA(VLOOKUP($C42,QuyDoi_DonVi!$C:$S,11,FALSE)*$L$2,0)</f>
        <v>0</v>
      </c>
      <c r="M42" s="55">
        <f t="shared" si="3"/>
        <v>0</v>
      </c>
      <c r="N42" s="55">
        <f t="shared" si="4"/>
        <v>38.866396761133601</v>
      </c>
      <c r="O42" s="55">
        <f t="shared" si="5"/>
        <v>21.862348178137651</v>
      </c>
      <c r="P42" s="55">
        <f t="shared" si="6"/>
        <v>0</v>
      </c>
      <c r="Q42" s="55">
        <f t="shared" si="7"/>
        <v>0</v>
      </c>
      <c r="R42" s="55">
        <f t="shared" si="8"/>
        <v>384</v>
      </c>
      <c r="S42" s="55">
        <f t="shared" si="9"/>
        <v>216</v>
      </c>
      <c r="T42" s="55">
        <f t="shared" si="10"/>
        <v>0</v>
      </c>
      <c r="U42" s="36">
        <f>_xlfn.IFNA(VLOOKUP($C42,QuyDoi_DonVi!$C:$S,6,FALSE),0)</f>
        <v>0</v>
      </c>
      <c r="V42" s="57">
        <f t="shared" si="11"/>
        <v>0</v>
      </c>
      <c r="W42" s="40">
        <f t="shared" si="12"/>
        <v>0</v>
      </c>
    </row>
    <row r="43" spans="2:23" ht="15.6">
      <c r="B43" s="10" t="s">
        <v>93</v>
      </c>
      <c r="C43" s="9" t="s">
        <v>172</v>
      </c>
      <c r="D43" s="11" t="s">
        <v>173</v>
      </c>
      <c r="E43" s="43">
        <f>_xlfn.IFNA(VLOOKUP($C43,SOP_Banh!$C:$X,17,FALSE),"")</f>
        <v>1226</v>
      </c>
      <c r="F43" s="54">
        <f t="shared" si="0"/>
        <v>700</v>
      </c>
      <c r="G43" s="54">
        <f t="shared" si="1"/>
        <v>57.096247960848288</v>
      </c>
      <c r="H43" s="54">
        <f t="shared" si="2"/>
        <v>-42.903752039151712</v>
      </c>
      <c r="I43" s="53">
        <f>_xlfn.IFNA(VLOOKUP($C43,QuyDoi_DonVi!$C:$S,6,FALSE)*$I$2,0)</f>
        <v>0</v>
      </c>
      <c r="J43" s="44">
        <f>_xlfn.IFNA(VLOOKUP($C43,QuyDoi_DonVi!$C:$S,8,FALSE)*$J$2,0)</f>
        <v>128</v>
      </c>
      <c r="K43" s="36">
        <f>_xlfn.IFNA(VLOOKUP($C43,QuyDoi_DonVi!$C:$S,9,FALSE),0)</f>
        <v>432</v>
      </c>
      <c r="L43" s="36">
        <f>_xlfn.IFNA(VLOOKUP($C43,QuyDoi_DonVi!$C:$S,11,FALSE)*$L$2,0)</f>
        <v>140</v>
      </c>
      <c r="M43" s="55">
        <f t="shared" si="3"/>
        <v>0</v>
      </c>
      <c r="N43" s="55">
        <f t="shared" si="4"/>
        <v>10.440456769983687</v>
      </c>
      <c r="O43" s="55">
        <f t="shared" si="5"/>
        <v>35.236541598694942</v>
      </c>
      <c r="P43" s="55">
        <f t="shared" si="6"/>
        <v>11.419249592169658</v>
      </c>
      <c r="Q43" s="55">
        <f t="shared" si="7"/>
        <v>0</v>
      </c>
      <c r="R43" s="55">
        <f t="shared" si="8"/>
        <v>128</v>
      </c>
      <c r="S43" s="55">
        <f t="shared" si="9"/>
        <v>432</v>
      </c>
      <c r="T43" s="55">
        <f t="shared" si="10"/>
        <v>140</v>
      </c>
      <c r="U43" s="36">
        <f>_xlfn.IFNA(VLOOKUP($C43,QuyDoi_DonVi!$C:$S,6,FALSE),0)</f>
        <v>0</v>
      </c>
      <c r="V43" s="57">
        <f t="shared" si="11"/>
        <v>0</v>
      </c>
      <c r="W43" s="40">
        <f t="shared" si="12"/>
        <v>0</v>
      </c>
    </row>
    <row r="44" spans="2:23" ht="15.6">
      <c r="B44" s="10" t="s">
        <v>93</v>
      </c>
      <c r="C44" s="9" t="s">
        <v>174</v>
      </c>
      <c r="D44" s="11" t="s">
        <v>175</v>
      </c>
      <c r="E44" s="43">
        <f>_xlfn.IFNA(VLOOKUP($C44,SOP_Banh!$C:$X,17,FALSE),"")</f>
        <v>3096</v>
      </c>
      <c r="F44" s="54">
        <f t="shared" si="0"/>
        <v>1476</v>
      </c>
      <c r="G44" s="54">
        <f t="shared" si="1"/>
        <v>47.674418604651166</v>
      </c>
      <c r="H44" s="54">
        <f t="shared" si="2"/>
        <v>-52.325581395348834</v>
      </c>
      <c r="I44" s="53">
        <f>_xlfn.IFNA(VLOOKUP($C44,QuyDoi_DonVi!$C:$S,6,FALSE)*$I$2,0)</f>
        <v>0</v>
      </c>
      <c r="J44" s="44">
        <f>_xlfn.IFNA(VLOOKUP($C44,QuyDoi_DonVi!$C:$S,8,FALSE)*$J$2,0)</f>
        <v>256</v>
      </c>
      <c r="K44" s="36">
        <f>_xlfn.IFNA(VLOOKUP($C44,QuyDoi_DonVi!$C:$S,9,FALSE),0)</f>
        <v>1080</v>
      </c>
      <c r="L44" s="36">
        <f>_xlfn.IFNA(VLOOKUP($C44,QuyDoi_DonVi!$C:$S,11,FALSE)*$L$2,0)</f>
        <v>140</v>
      </c>
      <c r="M44" s="55">
        <f t="shared" si="3"/>
        <v>0</v>
      </c>
      <c r="N44" s="55">
        <f t="shared" si="4"/>
        <v>8.2687338501291983</v>
      </c>
      <c r="O44" s="55">
        <f t="shared" si="5"/>
        <v>34.883720930232556</v>
      </c>
      <c r="P44" s="55">
        <f t="shared" si="6"/>
        <v>4.521963824289406</v>
      </c>
      <c r="Q44" s="55">
        <f t="shared" si="7"/>
        <v>0</v>
      </c>
      <c r="R44" s="55">
        <f t="shared" si="8"/>
        <v>255.99999999999997</v>
      </c>
      <c r="S44" s="55">
        <f t="shared" si="9"/>
        <v>1080</v>
      </c>
      <c r="T44" s="55">
        <f t="shared" si="10"/>
        <v>140.00000000000003</v>
      </c>
      <c r="U44" s="36">
        <f>_xlfn.IFNA(VLOOKUP($C44,QuyDoi_DonVi!$C:$S,6,FALSE),0)</f>
        <v>0</v>
      </c>
      <c r="V44" s="57">
        <f t="shared" si="11"/>
        <v>0</v>
      </c>
      <c r="W44" s="40">
        <f t="shared" si="12"/>
        <v>0</v>
      </c>
    </row>
    <row r="45" spans="2:23" ht="15.6">
      <c r="B45" s="10" t="s">
        <v>93</v>
      </c>
      <c r="C45" s="9" t="s">
        <v>176</v>
      </c>
      <c r="D45" s="11" t="s">
        <v>177</v>
      </c>
      <c r="E45" s="43">
        <f>_xlfn.IFNA(VLOOKUP($C45,SOP_Banh!$C:$X,17,FALSE),"")</f>
        <v>944</v>
      </c>
      <c r="F45" s="54">
        <f t="shared" si="0"/>
        <v>648</v>
      </c>
      <c r="G45" s="54">
        <f t="shared" si="1"/>
        <v>68.644067796610173</v>
      </c>
      <c r="H45" s="54">
        <f t="shared" si="2"/>
        <v>-31.355932203389827</v>
      </c>
      <c r="I45" s="53">
        <f>_xlfn.IFNA(VLOOKUP($C45,QuyDoi_DonVi!$C:$S,6,FALSE)*$I$2,0)</f>
        <v>0</v>
      </c>
      <c r="J45" s="44">
        <f>_xlfn.IFNA(VLOOKUP($C45,QuyDoi_DonVi!$C:$S,8,FALSE)*$J$2,0)</f>
        <v>0</v>
      </c>
      <c r="K45" s="36">
        <f>_xlfn.IFNA(VLOOKUP($C45,QuyDoi_DonVi!$C:$S,9,FALSE),0)</f>
        <v>648</v>
      </c>
      <c r="L45" s="36">
        <f>_xlfn.IFNA(VLOOKUP($C45,QuyDoi_DonVi!$C:$S,11,FALSE)*$L$2,0)</f>
        <v>0</v>
      </c>
      <c r="M45" s="55">
        <f t="shared" si="3"/>
        <v>0</v>
      </c>
      <c r="N45" s="55">
        <f t="shared" si="4"/>
        <v>0</v>
      </c>
      <c r="O45" s="55">
        <f t="shared" si="5"/>
        <v>68.644067796610173</v>
      </c>
      <c r="P45" s="55">
        <f t="shared" si="6"/>
        <v>0</v>
      </c>
      <c r="Q45" s="55">
        <f t="shared" si="7"/>
        <v>0</v>
      </c>
      <c r="R45" s="55">
        <f t="shared" si="8"/>
        <v>0</v>
      </c>
      <c r="S45" s="55">
        <f t="shared" si="9"/>
        <v>648</v>
      </c>
      <c r="T45" s="55">
        <f t="shared" si="10"/>
        <v>0</v>
      </c>
      <c r="U45" s="36">
        <f>_xlfn.IFNA(VLOOKUP($C45,QuyDoi_DonVi!$C:$S,6,FALSE),0)</f>
        <v>0</v>
      </c>
      <c r="V45" s="57">
        <f t="shared" si="11"/>
        <v>0</v>
      </c>
      <c r="W45" s="40">
        <f t="shared" si="12"/>
        <v>0</v>
      </c>
    </row>
    <row r="46" spans="2:23" ht="15.6">
      <c r="B46" s="10" t="s">
        <v>93</v>
      </c>
      <c r="C46" s="9" t="s">
        <v>178</v>
      </c>
      <c r="D46" s="11" t="s">
        <v>179</v>
      </c>
      <c r="E46" s="43">
        <f>_xlfn.IFNA(VLOOKUP($C46,SOP_Banh!$C:$X,17,FALSE),"")</f>
        <v>1226</v>
      </c>
      <c r="F46" s="54">
        <f t="shared" si="0"/>
        <v>2406.363636363636</v>
      </c>
      <c r="G46" s="54">
        <f t="shared" si="1"/>
        <v>196.27762123683817</v>
      </c>
      <c r="H46" s="54">
        <f t="shared" si="2"/>
        <v>96.277621236838172</v>
      </c>
      <c r="I46" s="53">
        <f>_xlfn.IFNA(VLOOKUP($C46,QuyDoi_DonVi!$C:$S,6,FALSE)*$I$2,0)</f>
        <v>1636.3636363636363</v>
      </c>
      <c r="J46" s="44">
        <f>_xlfn.IFNA(VLOOKUP($C46,QuyDoi_DonVi!$C:$S,8,FALSE)*$J$2,0)</f>
        <v>160</v>
      </c>
      <c r="K46" s="36">
        <f>_xlfn.IFNA(VLOOKUP($C46,QuyDoi_DonVi!$C:$S,9,FALSE),0)</f>
        <v>540</v>
      </c>
      <c r="L46" s="36">
        <f>_xlfn.IFNA(VLOOKUP($C46,QuyDoi_DonVi!$C:$S,11,FALSE)*$L$2,0)</f>
        <v>70</v>
      </c>
      <c r="M46" s="55">
        <f t="shared" si="3"/>
        <v>133.47174847990507</v>
      </c>
      <c r="N46" s="55">
        <f t="shared" si="4"/>
        <v>13.050570962479609</v>
      </c>
      <c r="O46" s="55">
        <f t="shared" si="5"/>
        <v>44.045676998368677</v>
      </c>
      <c r="P46" s="55">
        <f t="shared" si="6"/>
        <v>5.709624796084829</v>
      </c>
      <c r="Q46" s="55">
        <f t="shared" si="7"/>
        <v>1636.3636363636363</v>
      </c>
      <c r="R46" s="55">
        <f t="shared" si="8"/>
        <v>160.00000000000003</v>
      </c>
      <c r="S46" s="55">
        <f t="shared" si="9"/>
        <v>540</v>
      </c>
      <c r="T46" s="55">
        <f t="shared" si="10"/>
        <v>70</v>
      </c>
      <c r="U46" s="36">
        <f>_xlfn.IFNA(VLOOKUP($C46,QuyDoi_DonVi!$C:$S,6,FALSE),0)</f>
        <v>25</v>
      </c>
      <c r="V46" s="57">
        <f t="shared" si="11"/>
        <v>4.5454545454545459</v>
      </c>
      <c r="W46" s="40">
        <f t="shared" si="12"/>
        <v>25</v>
      </c>
    </row>
    <row r="47" spans="2:23" ht="15.6">
      <c r="B47" s="10" t="s">
        <v>93</v>
      </c>
      <c r="C47" s="9" t="s">
        <v>180</v>
      </c>
      <c r="D47" s="11" t="s">
        <v>181</v>
      </c>
      <c r="E47" s="43">
        <f>_xlfn.IFNA(VLOOKUP($C47,SOP_Banh!$C:$X,17,FALSE),"")</f>
        <v>1074</v>
      </c>
      <c r="F47" s="54">
        <f t="shared" si="0"/>
        <v>2512.363636363636</v>
      </c>
      <c r="G47" s="54">
        <f t="shared" si="1"/>
        <v>233.92585068562718</v>
      </c>
      <c r="H47" s="54">
        <f t="shared" si="2"/>
        <v>133.92585068562718</v>
      </c>
      <c r="I47" s="53">
        <f>_xlfn.IFNA(VLOOKUP($C47,QuyDoi_DonVi!$C:$S,6,FALSE)*$I$2,0)</f>
        <v>1636.3636363636363</v>
      </c>
      <c r="J47" s="44">
        <f>_xlfn.IFNA(VLOOKUP($C47,QuyDoi_DonVi!$C:$S,8,FALSE)*$J$2,0)</f>
        <v>272</v>
      </c>
      <c r="K47" s="36">
        <f>_xlfn.IFNA(VLOOKUP($C47,QuyDoi_DonVi!$C:$S,9,FALSE),0)</f>
        <v>324</v>
      </c>
      <c r="L47" s="36">
        <f>_xlfn.IFNA(VLOOKUP($C47,QuyDoi_DonVi!$C:$S,11,FALSE)*$L$2,0)</f>
        <v>280</v>
      </c>
      <c r="M47" s="55">
        <f t="shared" si="3"/>
        <v>152.36160487557135</v>
      </c>
      <c r="N47" s="55">
        <f t="shared" si="4"/>
        <v>25.325884543761639</v>
      </c>
      <c r="O47" s="55">
        <f t="shared" si="5"/>
        <v>30.16759776536313</v>
      </c>
      <c r="P47" s="55">
        <f t="shared" si="6"/>
        <v>26.070763500931097</v>
      </c>
      <c r="Q47" s="55">
        <f t="shared" si="7"/>
        <v>1636.3636363636363</v>
      </c>
      <c r="R47" s="55">
        <f t="shared" si="8"/>
        <v>272</v>
      </c>
      <c r="S47" s="55">
        <f t="shared" si="9"/>
        <v>324</v>
      </c>
      <c r="T47" s="55">
        <f t="shared" si="10"/>
        <v>279.99999999999994</v>
      </c>
      <c r="U47" s="36">
        <f>_xlfn.IFNA(VLOOKUP($C47,QuyDoi_DonVi!$C:$S,6,FALSE),0)</f>
        <v>25</v>
      </c>
      <c r="V47" s="57">
        <f t="shared" si="11"/>
        <v>4.5454545454545459</v>
      </c>
      <c r="W47" s="40">
        <f t="shared" si="12"/>
        <v>25</v>
      </c>
    </row>
    <row r="48" spans="2:23" ht="15.6">
      <c r="B48" s="10" t="s">
        <v>93</v>
      </c>
      <c r="C48" s="9" t="s">
        <v>182</v>
      </c>
      <c r="D48" s="11" t="s">
        <v>183</v>
      </c>
      <c r="E48" s="43">
        <f>_xlfn.IFNA(VLOOKUP($C48,SOP_Banh!$C:$X,17,FALSE),"")</f>
        <v>602</v>
      </c>
      <c r="F48" s="54">
        <f t="shared" si="0"/>
        <v>338</v>
      </c>
      <c r="G48" s="54">
        <f t="shared" si="1"/>
        <v>56.146179401993358</v>
      </c>
      <c r="H48" s="54">
        <f t="shared" si="2"/>
        <v>-43.853820598006642</v>
      </c>
      <c r="I48" s="53">
        <f>_xlfn.IFNA(VLOOKUP($C48,QuyDoi_DonVi!$C:$S,6,FALSE)*$I$2,0)</f>
        <v>0</v>
      </c>
      <c r="J48" s="44">
        <f>_xlfn.IFNA(VLOOKUP($C48,QuyDoi_DonVi!$C:$S,8,FALSE)*$J$2,0)</f>
        <v>160</v>
      </c>
      <c r="K48" s="36">
        <f>_xlfn.IFNA(VLOOKUP($C48,QuyDoi_DonVi!$C:$S,9,FALSE),0)</f>
        <v>108</v>
      </c>
      <c r="L48" s="36">
        <f>_xlfn.IFNA(VLOOKUP($C48,QuyDoi_DonVi!$C:$S,11,FALSE)*$L$2,0)</f>
        <v>70</v>
      </c>
      <c r="M48" s="55">
        <f t="shared" si="3"/>
        <v>0</v>
      </c>
      <c r="N48" s="55">
        <f t="shared" si="4"/>
        <v>26.578073089700997</v>
      </c>
      <c r="O48" s="55">
        <f t="shared" si="5"/>
        <v>17.940199335548172</v>
      </c>
      <c r="P48" s="55">
        <f t="shared" si="6"/>
        <v>11.627906976744185</v>
      </c>
      <c r="Q48" s="55">
        <f t="shared" si="7"/>
        <v>0</v>
      </c>
      <c r="R48" s="55">
        <f t="shared" si="8"/>
        <v>160</v>
      </c>
      <c r="S48" s="55">
        <f t="shared" si="9"/>
        <v>108</v>
      </c>
      <c r="T48" s="55">
        <f t="shared" si="10"/>
        <v>70</v>
      </c>
      <c r="U48" s="36">
        <f>_xlfn.IFNA(VLOOKUP($C48,QuyDoi_DonVi!$C:$S,6,FALSE),0)</f>
        <v>0</v>
      </c>
      <c r="V48" s="57">
        <f t="shared" si="11"/>
        <v>0</v>
      </c>
      <c r="W48" s="40">
        <f t="shared" si="12"/>
        <v>0</v>
      </c>
    </row>
    <row r="49" spans="2:23" ht="15.6">
      <c r="B49" s="10" t="s">
        <v>93</v>
      </c>
      <c r="C49" s="9" t="s">
        <v>184</v>
      </c>
      <c r="D49" s="11" t="s">
        <v>185</v>
      </c>
      <c r="E49" s="43">
        <f>_xlfn.IFNA(VLOOKUP($C49,SOP_Banh!$C:$X,17,FALSE),"")</f>
        <v>902</v>
      </c>
      <c r="F49" s="54">
        <f t="shared" si="0"/>
        <v>1548</v>
      </c>
      <c r="G49" s="54">
        <f t="shared" si="1"/>
        <v>171.61862527716187</v>
      </c>
      <c r="H49" s="54">
        <f t="shared" si="2"/>
        <v>71.618625277161868</v>
      </c>
      <c r="I49" s="53">
        <f>_xlfn.IFNA(VLOOKUP($C49,QuyDoi_DonVi!$C:$S,6,FALSE)*$I$2,0)</f>
        <v>0</v>
      </c>
      <c r="J49" s="44">
        <f>_xlfn.IFNA(VLOOKUP($C49,QuyDoi_DonVi!$C:$S,8,FALSE)*$J$2,0)</f>
        <v>384</v>
      </c>
      <c r="K49" s="36">
        <f>_xlfn.IFNA(VLOOKUP($C49,QuyDoi_DonVi!$C:$S,9,FALSE),0)</f>
        <v>324</v>
      </c>
      <c r="L49" s="36">
        <f>_xlfn.IFNA(VLOOKUP($C49,QuyDoi_DonVi!$C:$S,11,FALSE)*$L$2,0)</f>
        <v>840</v>
      </c>
      <c r="M49" s="55">
        <f t="shared" si="3"/>
        <v>0</v>
      </c>
      <c r="N49" s="55">
        <f t="shared" si="4"/>
        <v>42.572062084257205</v>
      </c>
      <c r="O49" s="55">
        <f t="shared" si="5"/>
        <v>35.920177383592019</v>
      </c>
      <c r="P49" s="55">
        <f t="shared" si="6"/>
        <v>93.126385809312637</v>
      </c>
      <c r="Q49" s="55">
        <f t="shared" si="7"/>
        <v>0</v>
      </c>
      <c r="R49" s="55">
        <f t="shared" si="8"/>
        <v>384</v>
      </c>
      <c r="S49" s="55">
        <f t="shared" si="9"/>
        <v>324</v>
      </c>
      <c r="T49" s="55">
        <f t="shared" si="10"/>
        <v>840</v>
      </c>
      <c r="U49" s="36">
        <f>_xlfn.IFNA(VLOOKUP($C49,QuyDoi_DonVi!$C:$S,6,FALSE),0)</f>
        <v>0</v>
      </c>
      <c r="V49" s="57">
        <f t="shared" si="11"/>
        <v>0</v>
      </c>
      <c r="W49" s="40">
        <f t="shared" si="12"/>
        <v>0</v>
      </c>
    </row>
    <row r="50" spans="2:23" ht="15.6">
      <c r="B50" s="10" t="s">
        <v>93</v>
      </c>
      <c r="C50" s="9" t="s">
        <v>186</v>
      </c>
      <c r="D50" s="11" t="s">
        <v>187</v>
      </c>
      <c r="E50" s="43">
        <f>_xlfn.IFNA(VLOOKUP($C50,SOP_Banh!$C:$X,17,FALSE),"")</f>
        <v>0</v>
      </c>
      <c r="F50" s="54">
        <f t="shared" si="0"/>
        <v>0</v>
      </c>
      <c r="G50" s="54">
        <f t="shared" si="1"/>
        <v>0</v>
      </c>
      <c r="H50" s="54">
        <f t="shared" si="2"/>
        <v>-100</v>
      </c>
      <c r="I50" s="53">
        <f>_xlfn.IFNA(VLOOKUP($C50,QuyDoi_DonVi!$C:$S,6,FALSE)*$I$2,0)</f>
        <v>0</v>
      </c>
      <c r="J50" s="44">
        <f>_xlfn.IFNA(VLOOKUP($C50,QuyDoi_DonVi!$C:$S,8,FALSE)*$J$2,0)</f>
        <v>0</v>
      </c>
      <c r="K50" s="36">
        <f>_xlfn.IFNA(VLOOKUP($C50,QuyDoi_DonVi!$C:$S,9,FALSE),0)</f>
        <v>0</v>
      </c>
      <c r="L50" s="36">
        <f>_xlfn.IFNA(VLOOKUP($C50,QuyDoi_DonVi!$C:$S,11,FALSE)*$L$2,0)</f>
        <v>0</v>
      </c>
      <c r="M50" s="55">
        <f t="shared" si="3"/>
        <v>0</v>
      </c>
      <c r="N50" s="55">
        <f t="shared" si="4"/>
        <v>0</v>
      </c>
      <c r="O50" s="55">
        <f t="shared" si="5"/>
        <v>0</v>
      </c>
      <c r="P50" s="55">
        <f t="shared" si="6"/>
        <v>0</v>
      </c>
      <c r="Q50" s="55">
        <f t="shared" si="7"/>
        <v>0</v>
      </c>
      <c r="R50" s="55">
        <f t="shared" si="8"/>
        <v>0</v>
      </c>
      <c r="S50" s="55">
        <f t="shared" si="9"/>
        <v>0</v>
      </c>
      <c r="T50" s="55">
        <f t="shared" si="10"/>
        <v>0</v>
      </c>
      <c r="U50" s="36">
        <f>_xlfn.IFNA(VLOOKUP($C50,QuyDoi_DonVi!$C:$S,6,FALSE),0)</f>
        <v>0</v>
      </c>
      <c r="V50" s="57">
        <f t="shared" si="11"/>
        <v>0</v>
      </c>
      <c r="W50" s="40">
        <f t="shared" si="12"/>
        <v>0</v>
      </c>
    </row>
    <row r="51" spans="2:23" ht="15.6">
      <c r="B51" s="10" t="s">
        <v>93</v>
      </c>
      <c r="C51" s="9" t="s">
        <v>188</v>
      </c>
      <c r="D51" s="11" t="s">
        <v>189</v>
      </c>
      <c r="E51" s="43">
        <f>_xlfn.IFNA(VLOOKUP($C51,SOP_Banh!$C:$X,17,FALSE),"")</f>
        <v>4782</v>
      </c>
      <c r="F51" s="54">
        <f t="shared" si="0"/>
        <v>2152.363636363636</v>
      </c>
      <c r="G51" s="54">
        <f t="shared" si="1"/>
        <v>45.009695448842237</v>
      </c>
      <c r="H51" s="54">
        <f t="shared" si="2"/>
        <v>-54.990304551157763</v>
      </c>
      <c r="I51" s="53">
        <f>_xlfn.IFNA(VLOOKUP($C51,QuyDoi_DonVi!$C:$S,6,FALSE)*$I$2,0)</f>
        <v>1636.3636363636363</v>
      </c>
      <c r="J51" s="44">
        <f>_xlfn.IFNA(VLOOKUP($C51,QuyDoi_DonVi!$C:$S,8,FALSE)*$J$2,0)</f>
        <v>192</v>
      </c>
      <c r="K51" s="36">
        <f>_xlfn.IFNA(VLOOKUP($C51,QuyDoi_DonVi!$C:$S,9,FALSE),0)</f>
        <v>324</v>
      </c>
      <c r="L51" s="36">
        <f>_xlfn.IFNA(VLOOKUP($C51,QuyDoi_DonVi!$C:$S,11,FALSE)*$L$2,0)</f>
        <v>0</v>
      </c>
      <c r="M51" s="55">
        <f t="shared" si="3"/>
        <v>34.219231207938854</v>
      </c>
      <c r="N51" s="55">
        <f t="shared" si="4"/>
        <v>4.0150564617314934</v>
      </c>
      <c r="O51" s="55">
        <f t="shared" si="5"/>
        <v>6.7754077791718945</v>
      </c>
      <c r="P51" s="55">
        <f t="shared" si="6"/>
        <v>0</v>
      </c>
      <c r="Q51" s="55">
        <f t="shared" si="7"/>
        <v>1636.3636363636358</v>
      </c>
      <c r="R51" s="55">
        <f t="shared" si="8"/>
        <v>192</v>
      </c>
      <c r="S51" s="55">
        <f t="shared" si="9"/>
        <v>324</v>
      </c>
      <c r="T51" s="55">
        <f t="shared" si="10"/>
        <v>0</v>
      </c>
      <c r="U51" s="36">
        <f>_xlfn.IFNA(VLOOKUP($C51,QuyDoi_DonVi!$C:$S,6,FALSE),0)</f>
        <v>25</v>
      </c>
      <c r="V51" s="57">
        <f t="shared" si="11"/>
        <v>4.5454545454545459</v>
      </c>
      <c r="W51" s="40">
        <f t="shared" si="12"/>
        <v>25</v>
      </c>
    </row>
    <row r="52" spans="2:23" ht="15.6">
      <c r="B52" s="10" t="s">
        <v>93</v>
      </c>
      <c r="C52" s="9" t="s">
        <v>190</v>
      </c>
      <c r="D52" s="11" t="s">
        <v>191</v>
      </c>
      <c r="E52" s="43">
        <f>_xlfn.IFNA(VLOOKUP($C52,SOP_Banh!$C:$X,17,FALSE),"")</f>
        <v>3552</v>
      </c>
      <c r="F52" s="54">
        <f t="shared" si="0"/>
        <v>2880.363636363636</v>
      </c>
      <c r="G52" s="54">
        <f t="shared" si="1"/>
        <v>81.091318591318583</v>
      </c>
      <c r="H52" s="54">
        <f t="shared" si="2"/>
        <v>-18.908681408681417</v>
      </c>
      <c r="I52" s="53">
        <f>_xlfn.IFNA(VLOOKUP($C52,QuyDoi_DonVi!$C:$S,6,FALSE)*$I$2,0)</f>
        <v>1636.3636363636363</v>
      </c>
      <c r="J52" s="44">
        <f>_xlfn.IFNA(VLOOKUP($C52,QuyDoi_DonVi!$C:$S,8,FALSE)*$J$2,0)</f>
        <v>704</v>
      </c>
      <c r="K52" s="36">
        <f>_xlfn.IFNA(VLOOKUP($C52,QuyDoi_DonVi!$C:$S,9,FALSE),0)</f>
        <v>540</v>
      </c>
      <c r="L52" s="36">
        <f>_xlfn.IFNA(VLOOKUP($C52,QuyDoi_DonVi!$C:$S,11,FALSE)*$L$2,0)</f>
        <v>0</v>
      </c>
      <c r="M52" s="55">
        <f t="shared" si="3"/>
        <v>46.068796068796061</v>
      </c>
      <c r="N52" s="55">
        <f t="shared" si="4"/>
        <v>19.81981981981982</v>
      </c>
      <c r="O52" s="55">
        <f t="shared" si="5"/>
        <v>15.202702702702704</v>
      </c>
      <c r="P52" s="55">
        <f t="shared" si="6"/>
        <v>0</v>
      </c>
      <c r="Q52" s="55">
        <f t="shared" si="7"/>
        <v>1636.3636363636363</v>
      </c>
      <c r="R52" s="55">
        <f t="shared" si="8"/>
        <v>704</v>
      </c>
      <c r="S52" s="55">
        <f t="shared" si="9"/>
        <v>540</v>
      </c>
      <c r="T52" s="55">
        <f t="shared" si="10"/>
        <v>0</v>
      </c>
      <c r="U52" s="36">
        <f>_xlfn.IFNA(VLOOKUP($C52,QuyDoi_DonVi!$C:$S,6,FALSE),0)</f>
        <v>25</v>
      </c>
      <c r="V52" s="57">
        <f t="shared" si="11"/>
        <v>4.5454545454545459</v>
      </c>
      <c r="W52" s="40">
        <f t="shared" si="12"/>
        <v>25</v>
      </c>
    </row>
    <row r="53" spans="2:23" ht="15.6">
      <c r="B53" s="10" t="s">
        <v>93</v>
      </c>
      <c r="C53" s="9" t="s">
        <v>192</v>
      </c>
      <c r="D53" s="11" t="s">
        <v>193</v>
      </c>
      <c r="E53" s="43">
        <f>_xlfn.IFNA(VLOOKUP($C53,SOP_Banh!$C:$X,17,FALSE),"")</f>
        <v>2856</v>
      </c>
      <c r="F53" s="54">
        <f t="shared" si="0"/>
        <v>4642.7272727272721</v>
      </c>
      <c r="G53" s="54">
        <f t="shared" si="1"/>
        <v>162.56047873694928</v>
      </c>
      <c r="H53" s="54">
        <f t="shared" si="2"/>
        <v>62.560478736949278</v>
      </c>
      <c r="I53" s="53">
        <f>_xlfn.IFNA(VLOOKUP($C53,QuyDoi_DonVi!$C:$S,6,FALSE)*$I$2,0)</f>
        <v>3272.7272727272725</v>
      </c>
      <c r="J53" s="44">
        <f>_xlfn.IFNA(VLOOKUP($C53,QuyDoi_DonVi!$C:$S,8,FALSE)*$J$2,0)</f>
        <v>480</v>
      </c>
      <c r="K53" s="36">
        <f>_xlfn.IFNA(VLOOKUP($C53,QuyDoi_DonVi!$C:$S,9,FALSE),0)</f>
        <v>540</v>
      </c>
      <c r="L53" s="36">
        <f>_xlfn.IFNA(VLOOKUP($C53,QuyDoi_DonVi!$C:$S,11,FALSE)*$L$2,0)</f>
        <v>350</v>
      </c>
      <c r="M53" s="55">
        <f t="shared" si="3"/>
        <v>114.59129106187929</v>
      </c>
      <c r="N53" s="55">
        <f t="shared" si="4"/>
        <v>16.806722689075631</v>
      </c>
      <c r="O53" s="55">
        <f t="shared" si="5"/>
        <v>18.907563025210084</v>
      </c>
      <c r="P53" s="55">
        <f t="shared" si="6"/>
        <v>12.254901960784315</v>
      </c>
      <c r="Q53" s="55">
        <f t="shared" si="7"/>
        <v>3272.7272727272725</v>
      </c>
      <c r="R53" s="55">
        <f t="shared" si="8"/>
        <v>480</v>
      </c>
      <c r="S53" s="55">
        <f t="shared" si="9"/>
        <v>540</v>
      </c>
      <c r="T53" s="55">
        <f t="shared" si="10"/>
        <v>350</v>
      </c>
      <c r="U53" s="36">
        <f>_xlfn.IFNA(VLOOKUP($C53,QuyDoi_DonVi!$C:$S,6,FALSE),0)</f>
        <v>50</v>
      </c>
      <c r="V53" s="57">
        <f t="shared" si="11"/>
        <v>9.0909090909090917</v>
      </c>
      <c r="W53" s="40">
        <f t="shared" si="12"/>
        <v>50</v>
      </c>
    </row>
    <row r="54" spans="2:23" ht="15.6">
      <c r="B54" s="10" t="s">
        <v>93</v>
      </c>
      <c r="C54" s="9" t="s">
        <v>194</v>
      </c>
      <c r="D54" s="11" t="s">
        <v>195</v>
      </c>
      <c r="E54" s="43">
        <f>_xlfn.IFNA(VLOOKUP($C54,SOP_Banh!$C:$X,17,FALSE),"")</f>
        <v>1822</v>
      </c>
      <c r="F54" s="54">
        <f t="shared" si="0"/>
        <v>832</v>
      </c>
      <c r="G54" s="54">
        <f t="shared" si="1"/>
        <v>45.664105378704718</v>
      </c>
      <c r="H54" s="54">
        <f t="shared" si="2"/>
        <v>-54.335894621295282</v>
      </c>
      <c r="I54" s="53">
        <f>_xlfn.IFNA(VLOOKUP($C54,QuyDoi_DonVi!$C:$S,6,FALSE)*$I$2,0)</f>
        <v>0</v>
      </c>
      <c r="J54" s="44">
        <f>_xlfn.IFNA(VLOOKUP($C54,QuyDoi_DonVi!$C:$S,8,FALSE)*$J$2,0)</f>
        <v>400</v>
      </c>
      <c r="K54" s="36">
        <f>_xlfn.IFNA(VLOOKUP($C54,QuyDoi_DonVi!$C:$S,9,FALSE),0)</f>
        <v>432</v>
      </c>
      <c r="L54" s="36">
        <f>_xlfn.IFNA(VLOOKUP($C54,QuyDoi_DonVi!$C:$S,11,FALSE)*$L$2,0)</f>
        <v>0</v>
      </c>
      <c r="M54" s="55">
        <f t="shared" si="3"/>
        <v>0</v>
      </c>
      <c r="N54" s="55">
        <f t="shared" si="4"/>
        <v>21.95389681668496</v>
      </c>
      <c r="O54" s="55">
        <f t="shared" si="5"/>
        <v>23.710208562019758</v>
      </c>
      <c r="P54" s="55">
        <f t="shared" si="6"/>
        <v>0</v>
      </c>
      <c r="Q54" s="55">
        <f t="shared" si="7"/>
        <v>0</v>
      </c>
      <c r="R54" s="55">
        <f t="shared" si="8"/>
        <v>400</v>
      </c>
      <c r="S54" s="55">
        <f t="shared" si="9"/>
        <v>432</v>
      </c>
      <c r="T54" s="55">
        <f t="shared" si="10"/>
        <v>0</v>
      </c>
      <c r="U54" s="36">
        <f>_xlfn.IFNA(VLOOKUP($C54,QuyDoi_DonVi!$C:$S,6,FALSE),0)</f>
        <v>0</v>
      </c>
      <c r="V54" s="57">
        <f t="shared" si="11"/>
        <v>0</v>
      </c>
      <c r="W54" s="40">
        <f t="shared" si="12"/>
        <v>0</v>
      </c>
    </row>
    <row r="55" spans="2:23" ht="15.6">
      <c r="B55" s="10" t="s">
        <v>93</v>
      </c>
      <c r="C55" s="9" t="s">
        <v>196</v>
      </c>
      <c r="D55" s="11" t="s">
        <v>197</v>
      </c>
      <c r="E55" s="43">
        <f>_xlfn.IFNA(VLOOKUP($C55,SOP_Banh!$C:$X,17,FALSE),"")</f>
        <v>1728</v>
      </c>
      <c r="F55" s="54">
        <f t="shared" si="0"/>
        <v>496</v>
      </c>
      <c r="G55" s="54">
        <f t="shared" si="1"/>
        <v>28.703703703703702</v>
      </c>
      <c r="H55" s="54">
        <f t="shared" si="2"/>
        <v>-71.296296296296305</v>
      </c>
      <c r="I55" s="53">
        <f>_xlfn.IFNA(VLOOKUP($C55,QuyDoi_DonVi!$C:$S,6,FALSE)*$I$2,0)</f>
        <v>0</v>
      </c>
      <c r="J55" s="44">
        <f>_xlfn.IFNA(VLOOKUP($C55,QuyDoi_DonVi!$C:$S,8,FALSE)*$J$2,0)</f>
        <v>64</v>
      </c>
      <c r="K55" s="36">
        <f>_xlfn.IFNA(VLOOKUP($C55,QuyDoi_DonVi!$C:$S,9,FALSE),0)</f>
        <v>432</v>
      </c>
      <c r="L55" s="36">
        <f>_xlfn.IFNA(VLOOKUP($C55,QuyDoi_DonVi!$C:$S,11,FALSE)*$L$2,0)</f>
        <v>0</v>
      </c>
      <c r="M55" s="55">
        <f t="shared" si="3"/>
        <v>0</v>
      </c>
      <c r="N55" s="55">
        <f t="shared" si="4"/>
        <v>3.7037037037037037</v>
      </c>
      <c r="O55" s="55">
        <f t="shared" si="5"/>
        <v>25</v>
      </c>
      <c r="P55" s="55">
        <f t="shared" si="6"/>
        <v>0</v>
      </c>
      <c r="Q55" s="55">
        <f t="shared" si="7"/>
        <v>0</v>
      </c>
      <c r="R55" s="55">
        <f t="shared" si="8"/>
        <v>64</v>
      </c>
      <c r="S55" s="55">
        <f t="shared" si="9"/>
        <v>432</v>
      </c>
      <c r="T55" s="55">
        <f t="shared" si="10"/>
        <v>0</v>
      </c>
      <c r="U55" s="36">
        <f>_xlfn.IFNA(VLOOKUP($C55,QuyDoi_DonVi!$C:$S,6,FALSE),0)</f>
        <v>0</v>
      </c>
      <c r="V55" s="57">
        <f t="shared" si="11"/>
        <v>0</v>
      </c>
      <c r="W55" s="40">
        <f t="shared" si="12"/>
        <v>0</v>
      </c>
    </row>
    <row r="56" spans="2:23" ht="15.6">
      <c r="B56" s="10" t="s">
        <v>93</v>
      </c>
      <c r="C56" s="9" t="s">
        <v>198</v>
      </c>
      <c r="D56" s="11" t="s">
        <v>199</v>
      </c>
      <c r="E56" s="43">
        <f>_xlfn.IFNA(VLOOKUP($C56,SOP_Banh!$C:$X,17,FALSE),"")</f>
        <v>924</v>
      </c>
      <c r="F56" s="54">
        <f t="shared" si="0"/>
        <v>2170.363636363636</v>
      </c>
      <c r="G56" s="54">
        <f t="shared" si="1"/>
        <v>234.88783943329392</v>
      </c>
      <c r="H56" s="54">
        <f t="shared" si="2"/>
        <v>134.88783943329392</v>
      </c>
      <c r="I56" s="53">
        <f>_xlfn.IFNA(VLOOKUP($C56,QuyDoi_DonVi!$C:$S,6,FALSE)*$I$2,0)</f>
        <v>1636.3636363636363</v>
      </c>
      <c r="J56" s="44">
        <f>_xlfn.IFNA(VLOOKUP($C56,QuyDoi_DonVi!$C:$S,8,FALSE)*$J$2,0)</f>
        <v>32</v>
      </c>
      <c r="K56" s="36">
        <f>_xlfn.IFNA(VLOOKUP($C56,QuyDoi_DonVi!$C:$S,9,FALSE),0)</f>
        <v>432</v>
      </c>
      <c r="L56" s="36">
        <f>_xlfn.IFNA(VLOOKUP($C56,QuyDoi_DonVi!$C:$S,11,FALSE)*$L$2,0)</f>
        <v>70</v>
      </c>
      <c r="M56" s="55">
        <f t="shared" si="3"/>
        <v>177.09563164108616</v>
      </c>
      <c r="N56" s="55">
        <f t="shared" si="4"/>
        <v>3.4632034632034632</v>
      </c>
      <c r="O56" s="55">
        <f t="shared" si="5"/>
        <v>46.753246753246756</v>
      </c>
      <c r="P56" s="55">
        <f t="shared" si="6"/>
        <v>7.5757575757575761</v>
      </c>
      <c r="Q56" s="55">
        <f t="shared" si="7"/>
        <v>1636.3636363636363</v>
      </c>
      <c r="R56" s="55">
        <f t="shared" si="8"/>
        <v>32</v>
      </c>
      <c r="S56" s="55">
        <f t="shared" si="9"/>
        <v>432</v>
      </c>
      <c r="T56" s="55">
        <f t="shared" si="10"/>
        <v>70</v>
      </c>
      <c r="U56" s="36">
        <f>_xlfn.IFNA(VLOOKUP($C56,QuyDoi_DonVi!$C:$S,6,FALSE),0)</f>
        <v>25</v>
      </c>
      <c r="V56" s="57">
        <f t="shared" si="11"/>
        <v>4.5454545454545459</v>
      </c>
      <c r="W56" s="40">
        <f t="shared" si="12"/>
        <v>25</v>
      </c>
    </row>
    <row r="57" spans="2:23" ht="15.6">
      <c r="B57" s="10" t="s">
        <v>93</v>
      </c>
      <c r="C57" s="9" t="s">
        <v>200</v>
      </c>
      <c r="D57" s="11" t="s">
        <v>201</v>
      </c>
      <c r="E57" s="43">
        <f>_xlfn.IFNA(VLOOKUP($C57,SOP_Banh!$C:$X,17,FALSE),"")</f>
        <v>1264</v>
      </c>
      <c r="F57" s="54">
        <f t="shared" si="0"/>
        <v>688</v>
      </c>
      <c r="G57" s="54">
        <f t="shared" si="1"/>
        <v>54.430379746835442</v>
      </c>
      <c r="H57" s="54">
        <f t="shared" si="2"/>
        <v>-45.569620253164558</v>
      </c>
      <c r="I57" s="53">
        <f>_xlfn.IFNA(VLOOKUP($C57,QuyDoi_DonVi!$C:$S,6,FALSE)*$I$2,0)</f>
        <v>0</v>
      </c>
      <c r="J57" s="44">
        <f>_xlfn.IFNA(VLOOKUP($C57,QuyDoi_DonVi!$C:$S,8,FALSE)*$J$2,0)</f>
        <v>224</v>
      </c>
      <c r="K57" s="36">
        <f>_xlfn.IFNA(VLOOKUP($C57,QuyDoi_DonVi!$C:$S,9,FALSE),0)</f>
        <v>324</v>
      </c>
      <c r="L57" s="36">
        <f>_xlfn.IFNA(VLOOKUP($C57,QuyDoi_DonVi!$C:$S,11,FALSE)*$L$2,0)</f>
        <v>140</v>
      </c>
      <c r="M57" s="55">
        <f t="shared" si="3"/>
        <v>0</v>
      </c>
      <c r="N57" s="55">
        <f t="shared" si="4"/>
        <v>17.721518987341771</v>
      </c>
      <c r="O57" s="55">
        <f t="shared" si="5"/>
        <v>25.632911392405063</v>
      </c>
      <c r="P57" s="55">
        <f t="shared" si="6"/>
        <v>11.075949367088608</v>
      </c>
      <c r="Q57" s="55">
        <f t="shared" si="7"/>
        <v>0</v>
      </c>
      <c r="R57" s="55">
        <f t="shared" si="8"/>
        <v>223.99999999999997</v>
      </c>
      <c r="S57" s="55">
        <f t="shared" si="9"/>
        <v>324</v>
      </c>
      <c r="T57" s="55">
        <f t="shared" si="10"/>
        <v>140</v>
      </c>
      <c r="U57" s="36">
        <f>_xlfn.IFNA(VLOOKUP($C57,QuyDoi_DonVi!$C:$S,6,FALSE),0)</f>
        <v>0</v>
      </c>
      <c r="V57" s="57">
        <f t="shared" si="11"/>
        <v>0</v>
      </c>
      <c r="W57" s="40">
        <f t="shared" si="12"/>
        <v>0</v>
      </c>
    </row>
    <row r="58" spans="2:23" ht="15.6">
      <c r="B58" s="10" t="s">
        <v>93</v>
      </c>
      <c r="C58" s="9" t="s">
        <v>202</v>
      </c>
      <c r="D58" s="11" t="s">
        <v>203</v>
      </c>
      <c r="E58" s="43">
        <f>_xlfn.IFNA(VLOOKUP($C58,SOP_Banh!$C:$X,17,FALSE),"")</f>
        <v>2386</v>
      </c>
      <c r="F58" s="54">
        <f t="shared" si="0"/>
        <v>904</v>
      </c>
      <c r="G58" s="54">
        <f t="shared" si="1"/>
        <v>37.887678122380557</v>
      </c>
      <c r="H58" s="54">
        <f t="shared" si="2"/>
        <v>-62.112321877619443</v>
      </c>
      <c r="I58" s="53">
        <f>_xlfn.IFNA(VLOOKUP($C58,QuyDoi_DonVi!$C:$S,6,FALSE)*$I$2,0)</f>
        <v>0</v>
      </c>
      <c r="J58" s="44">
        <f>_xlfn.IFNA(VLOOKUP($C58,QuyDoi_DonVi!$C:$S,8,FALSE)*$J$2,0)</f>
        <v>256</v>
      </c>
      <c r="K58" s="36">
        <f>_xlfn.IFNA(VLOOKUP($C58,QuyDoi_DonVi!$C:$S,9,FALSE),0)</f>
        <v>648</v>
      </c>
      <c r="L58" s="36">
        <f>_xlfn.IFNA(VLOOKUP($C58,QuyDoi_DonVi!$C:$S,11,FALSE)*$L$2,0)</f>
        <v>0</v>
      </c>
      <c r="M58" s="55">
        <f t="shared" si="3"/>
        <v>0</v>
      </c>
      <c r="N58" s="55">
        <f t="shared" si="4"/>
        <v>10.729253981559095</v>
      </c>
      <c r="O58" s="55">
        <f t="shared" si="5"/>
        <v>27.15842414082146</v>
      </c>
      <c r="P58" s="55">
        <f t="shared" si="6"/>
        <v>0</v>
      </c>
      <c r="Q58" s="55">
        <f t="shared" si="7"/>
        <v>0</v>
      </c>
      <c r="R58" s="55">
        <f t="shared" si="8"/>
        <v>256</v>
      </c>
      <c r="S58" s="55">
        <f t="shared" si="9"/>
        <v>648</v>
      </c>
      <c r="T58" s="55">
        <f t="shared" si="10"/>
        <v>0</v>
      </c>
      <c r="U58" s="36">
        <f>_xlfn.IFNA(VLOOKUP($C58,QuyDoi_DonVi!$C:$S,6,FALSE),0)</f>
        <v>0</v>
      </c>
      <c r="V58" s="57">
        <f t="shared" si="11"/>
        <v>0</v>
      </c>
      <c r="W58" s="40">
        <f t="shared" si="12"/>
        <v>0</v>
      </c>
    </row>
    <row r="59" spans="2:23" ht="15.6">
      <c r="B59" s="10" t="s">
        <v>93</v>
      </c>
      <c r="C59" s="9" t="s">
        <v>204</v>
      </c>
      <c r="D59" s="11" t="s">
        <v>205</v>
      </c>
      <c r="E59" s="43">
        <f>_xlfn.IFNA(VLOOKUP($C59,SOP_Banh!$C:$X,17,FALSE),"")</f>
        <v>1768</v>
      </c>
      <c r="F59" s="54">
        <f t="shared" si="0"/>
        <v>1094</v>
      </c>
      <c r="G59" s="54">
        <f t="shared" si="1"/>
        <v>61.877828054298639</v>
      </c>
      <c r="H59" s="54">
        <f t="shared" si="2"/>
        <v>-38.122171945701361</v>
      </c>
      <c r="I59" s="53">
        <f>_xlfn.IFNA(VLOOKUP($C59,QuyDoi_DonVi!$C:$S,6,FALSE)*$I$2,0)</f>
        <v>0</v>
      </c>
      <c r="J59" s="44">
        <f>_xlfn.IFNA(VLOOKUP($C59,QuyDoi_DonVi!$C:$S,8,FALSE)*$J$2,0)</f>
        <v>128</v>
      </c>
      <c r="K59" s="36">
        <f>_xlfn.IFNA(VLOOKUP($C59,QuyDoi_DonVi!$C:$S,9,FALSE),0)</f>
        <v>756</v>
      </c>
      <c r="L59" s="36">
        <f>_xlfn.IFNA(VLOOKUP($C59,QuyDoi_DonVi!$C:$S,11,FALSE)*$L$2,0)</f>
        <v>210</v>
      </c>
      <c r="M59" s="55">
        <f t="shared" si="3"/>
        <v>0</v>
      </c>
      <c r="N59" s="55">
        <f t="shared" si="4"/>
        <v>7.2398190045248869</v>
      </c>
      <c r="O59" s="55">
        <f t="shared" si="5"/>
        <v>42.76018099547511</v>
      </c>
      <c r="P59" s="55">
        <f t="shared" si="6"/>
        <v>11.877828054298643</v>
      </c>
      <c r="Q59" s="55">
        <f t="shared" si="7"/>
        <v>0</v>
      </c>
      <c r="R59" s="55">
        <f t="shared" si="8"/>
        <v>128</v>
      </c>
      <c r="S59" s="55">
        <f t="shared" si="9"/>
        <v>756</v>
      </c>
      <c r="T59" s="55">
        <f t="shared" si="10"/>
        <v>210</v>
      </c>
      <c r="U59" s="36">
        <f>_xlfn.IFNA(VLOOKUP($C59,QuyDoi_DonVi!$C:$S,6,FALSE),0)</f>
        <v>0</v>
      </c>
      <c r="V59" s="57">
        <f t="shared" si="11"/>
        <v>0</v>
      </c>
      <c r="W59" s="40">
        <f t="shared" si="12"/>
        <v>0</v>
      </c>
    </row>
    <row r="60" spans="2:23" ht="15.6">
      <c r="B60" s="10" t="s">
        <v>93</v>
      </c>
      <c r="C60" s="9" t="s">
        <v>206</v>
      </c>
      <c r="D60" s="11" t="s">
        <v>207</v>
      </c>
      <c r="E60" s="43">
        <f>_xlfn.IFNA(VLOOKUP($C60,SOP_Banh!$C:$X,17,FALSE),"")</f>
        <v>1282</v>
      </c>
      <c r="F60" s="54">
        <f t="shared" si="0"/>
        <v>2158.363636363636</v>
      </c>
      <c r="G60" s="54">
        <f t="shared" si="1"/>
        <v>168.35909800028361</v>
      </c>
      <c r="H60" s="54">
        <f t="shared" si="2"/>
        <v>68.359098000283609</v>
      </c>
      <c r="I60" s="53">
        <f>_xlfn.IFNA(VLOOKUP($C60,QuyDoi_DonVi!$C:$S,6,FALSE)*$I$2,0)</f>
        <v>1636.3636363636363</v>
      </c>
      <c r="J60" s="44">
        <f>_xlfn.IFNA(VLOOKUP($C60,QuyDoi_DonVi!$C:$S,8,FALSE)*$J$2,0)</f>
        <v>128</v>
      </c>
      <c r="K60" s="36">
        <f>_xlfn.IFNA(VLOOKUP($C60,QuyDoi_DonVi!$C:$S,9,FALSE),0)</f>
        <v>324</v>
      </c>
      <c r="L60" s="36">
        <f>_xlfn.IFNA(VLOOKUP($C60,QuyDoi_DonVi!$C:$S,11,FALSE)*$L$2,0)</f>
        <v>70</v>
      </c>
      <c r="M60" s="55">
        <f t="shared" si="3"/>
        <v>127.64146929513542</v>
      </c>
      <c r="N60" s="55">
        <f t="shared" si="4"/>
        <v>9.9843993759750393</v>
      </c>
      <c r="O60" s="55">
        <f t="shared" si="5"/>
        <v>25.273010920436818</v>
      </c>
      <c r="P60" s="55">
        <f t="shared" si="6"/>
        <v>5.4602184087363499</v>
      </c>
      <c r="Q60" s="55">
        <f t="shared" si="7"/>
        <v>1636.3636363636363</v>
      </c>
      <c r="R60" s="55">
        <f t="shared" si="8"/>
        <v>128</v>
      </c>
      <c r="S60" s="55">
        <f t="shared" si="9"/>
        <v>324</v>
      </c>
      <c r="T60" s="55">
        <f t="shared" si="10"/>
        <v>70.000000000000014</v>
      </c>
      <c r="U60" s="36">
        <f>_xlfn.IFNA(VLOOKUP($C60,QuyDoi_DonVi!$C:$S,6,FALSE),0)</f>
        <v>25</v>
      </c>
      <c r="V60" s="57">
        <f t="shared" si="11"/>
        <v>4.5454545454545459</v>
      </c>
      <c r="W60" s="40">
        <f t="shared" si="12"/>
        <v>25</v>
      </c>
    </row>
    <row r="61" spans="2:23" ht="15.6">
      <c r="B61" s="10" t="s">
        <v>93</v>
      </c>
      <c r="C61" s="9" t="s">
        <v>208</v>
      </c>
      <c r="D61" s="11" t="s">
        <v>209</v>
      </c>
      <c r="E61" s="43">
        <f>_xlfn.IFNA(VLOOKUP($C61,SOP_Banh!$C:$X,17,FALSE),"")</f>
        <v>2096</v>
      </c>
      <c r="F61" s="54">
        <f t="shared" si="0"/>
        <v>1654</v>
      </c>
      <c r="G61" s="54">
        <f t="shared" si="1"/>
        <v>78.912213740458014</v>
      </c>
      <c r="H61" s="54">
        <f t="shared" si="2"/>
        <v>-21.087786259541986</v>
      </c>
      <c r="I61" s="53">
        <f>_xlfn.IFNA(VLOOKUP($C61,QuyDoi_DonVi!$C:$S,6,FALSE)*$I$2,0)</f>
        <v>0</v>
      </c>
      <c r="J61" s="44">
        <f>_xlfn.IFNA(VLOOKUP($C61,QuyDoi_DonVi!$C:$S,8,FALSE)*$J$2,0)</f>
        <v>224</v>
      </c>
      <c r="K61" s="36">
        <f>_xlfn.IFNA(VLOOKUP($C61,QuyDoi_DonVi!$C:$S,9,FALSE),0)</f>
        <v>1080</v>
      </c>
      <c r="L61" s="36">
        <f>_xlfn.IFNA(VLOOKUP($C61,QuyDoi_DonVi!$C:$S,11,FALSE)*$L$2,0)</f>
        <v>350</v>
      </c>
      <c r="M61" s="55">
        <f t="shared" si="3"/>
        <v>0</v>
      </c>
      <c r="N61" s="55">
        <f t="shared" si="4"/>
        <v>10.687022900763358</v>
      </c>
      <c r="O61" s="55">
        <f t="shared" si="5"/>
        <v>51.526717557251906</v>
      </c>
      <c r="P61" s="55">
        <f t="shared" si="6"/>
        <v>16.698473282442748</v>
      </c>
      <c r="Q61" s="55">
        <f t="shared" si="7"/>
        <v>0</v>
      </c>
      <c r="R61" s="55">
        <f t="shared" si="8"/>
        <v>224</v>
      </c>
      <c r="S61" s="55">
        <f t="shared" si="9"/>
        <v>1080</v>
      </c>
      <c r="T61" s="55">
        <f t="shared" si="10"/>
        <v>350</v>
      </c>
      <c r="U61" s="36">
        <f>_xlfn.IFNA(VLOOKUP($C61,QuyDoi_DonVi!$C:$S,6,FALSE),0)</f>
        <v>0</v>
      </c>
      <c r="V61" s="57">
        <f t="shared" si="11"/>
        <v>0</v>
      </c>
      <c r="W61" s="40">
        <f t="shared" si="12"/>
        <v>0</v>
      </c>
    </row>
    <row r="62" spans="2:23" ht="15.6">
      <c r="B62" s="10" t="s">
        <v>93</v>
      </c>
      <c r="C62" s="9" t="s">
        <v>210</v>
      </c>
      <c r="D62" s="11" t="s">
        <v>211</v>
      </c>
      <c r="E62" s="43">
        <f>_xlfn.IFNA(VLOOKUP($C62,SOP_Banh!$C:$X,17,FALSE),"")</f>
        <v>2522</v>
      </c>
      <c r="F62" s="54">
        <f t="shared" si="0"/>
        <v>4116.363636363636</v>
      </c>
      <c r="G62" s="54">
        <f t="shared" si="1"/>
        <v>163.21822507389516</v>
      </c>
      <c r="H62" s="54">
        <f t="shared" si="2"/>
        <v>63.218225073895155</v>
      </c>
      <c r="I62" s="53">
        <f>_xlfn.IFNA(VLOOKUP($C62,QuyDoi_DonVi!$C:$S,6,FALSE)*$I$2,0)</f>
        <v>1636.3636363636363</v>
      </c>
      <c r="J62" s="44">
        <f>_xlfn.IFNA(VLOOKUP($C62,QuyDoi_DonVi!$C:$S,8,FALSE)*$J$2,0)</f>
        <v>1056</v>
      </c>
      <c r="K62" s="36">
        <f>_xlfn.IFNA(VLOOKUP($C62,QuyDoi_DonVi!$C:$S,9,FALSE),0)</f>
        <v>864</v>
      </c>
      <c r="L62" s="36">
        <f>_xlfn.IFNA(VLOOKUP($C62,QuyDoi_DonVi!$C:$S,11,FALSE)*$L$2,0)</f>
        <v>560</v>
      </c>
      <c r="M62" s="55">
        <f t="shared" si="3"/>
        <v>64.8835700382092</v>
      </c>
      <c r="N62" s="55">
        <f t="shared" si="4"/>
        <v>41.871530531324346</v>
      </c>
      <c r="O62" s="55">
        <f t="shared" si="5"/>
        <v>34.258524980174464</v>
      </c>
      <c r="P62" s="55">
        <f t="shared" si="6"/>
        <v>22.204599524187152</v>
      </c>
      <c r="Q62" s="55">
        <f t="shared" si="7"/>
        <v>1636.3636363636358</v>
      </c>
      <c r="R62" s="55">
        <f t="shared" si="8"/>
        <v>1056</v>
      </c>
      <c r="S62" s="55">
        <f t="shared" si="9"/>
        <v>864</v>
      </c>
      <c r="T62" s="55">
        <f t="shared" si="10"/>
        <v>560</v>
      </c>
      <c r="U62" s="36">
        <f>_xlfn.IFNA(VLOOKUP($C62,QuyDoi_DonVi!$C:$S,6,FALSE),0)</f>
        <v>25</v>
      </c>
      <c r="V62" s="57">
        <f t="shared" si="11"/>
        <v>4.5454545454545459</v>
      </c>
      <c r="W62" s="40">
        <f t="shared" si="12"/>
        <v>25</v>
      </c>
    </row>
    <row r="63" spans="2:23" ht="15.6">
      <c r="B63" s="10" t="s">
        <v>93</v>
      </c>
      <c r="C63" s="9" t="s">
        <v>212</v>
      </c>
      <c r="D63" s="11" t="s">
        <v>213</v>
      </c>
      <c r="E63" s="43">
        <f>_xlfn.IFNA(VLOOKUP($C63,SOP_Banh!$C:$X,17,FALSE),"")</f>
        <v>1348</v>
      </c>
      <c r="F63" s="54">
        <f t="shared" si="0"/>
        <v>2420.363636363636</v>
      </c>
      <c r="G63" s="54">
        <f t="shared" si="1"/>
        <v>179.55219854329644</v>
      </c>
      <c r="H63" s="54">
        <f t="shared" si="2"/>
        <v>79.552198543296441</v>
      </c>
      <c r="I63" s="53">
        <f>_xlfn.IFNA(VLOOKUP($C63,QuyDoi_DonVi!$C:$S,6,FALSE)*$I$2,0)</f>
        <v>1636.3636363636363</v>
      </c>
      <c r="J63" s="44">
        <f>_xlfn.IFNA(VLOOKUP($C63,QuyDoi_DonVi!$C:$S,8,FALSE)*$J$2,0)</f>
        <v>288</v>
      </c>
      <c r="K63" s="36">
        <f>_xlfn.IFNA(VLOOKUP($C63,QuyDoi_DonVi!$C:$S,9,FALSE),0)</f>
        <v>216</v>
      </c>
      <c r="L63" s="36">
        <f>_xlfn.IFNA(VLOOKUP($C63,QuyDoi_DonVi!$C:$S,11,FALSE)*$L$2,0)</f>
        <v>280</v>
      </c>
      <c r="M63" s="55">
        <f t="shared" si="3"/>
        <v>121.39196115457241</v>
      </c>
      <c r="N63" s="55">
        <f t="shared" si="4"/>
        <v>21.364985163204746</v>
      </c>
      <c r="O63" s="55">
        <f t="shared" si="5"/>
        <v>16.023738872403563</v>
      </c>
      <c r="P63" s="55">
        <f t="shared" si="6"/>
        <v>20.771513353115726</v>
      </c>
      <c r="Q63" s="55">
        <f t="shared" si="7"/>
        <v>1636.3636363636363</v>
      </c>
      <c r="R63" s="55">
        <f t="shared" si="8"/>
        <v>288</v>
      </c>
      <c r="S63" s="55">
        <f t="shared" si="9"/>
        <v>216.00000000000003</v>
      </c>
      <c r="T63" s="55">
        <f t="shared" si="10"/>
        <v>280</v>
      </c>
      <c r="U63" s="36">
        <f>_xlfn.IFNA(VLOOKUP($C63,QuyDoi_DonVi!$C:$S,6,FALSE),0)</f>
        <v>25</v>
      </c>
      <c r="V63" s="57">
        <f t="shared" si="11"/>
        <v>4.5454545454545459</v>
      </c>
      <c r="W63" s="40">
        <f t="shared" si="12"/>
        <v>25</v>
      </c>
    </row>
    <row r="64" spans="2:23" ht="15.6">
      <c r="B64" s="10" t="s">
        <v>93</v>
      </c>
      <c r="C64" s="9" t="s">
        <v>214</v>
      </c>
      <c r="D64" s="11" t="s">
        <v>215</v>
      </c>
      <c r="E64" s="43">
        <f>_xlfn.IFNA(VLOOKUP($C64,SOP_Banh!$C:$X,17,FALSE),"")</f>
        <v>972</v>
      </c>
      <c r="F64" s="54">
        <f t="shared" si="0"/>
        <v>408</v>
      </c>
      <c r="G64" s="54">
        <f t="shared" si="1"/>
        <v>41.97530864197531</v>
      </c>
      <c r="H64" s="54">
        <f t="shared" si="2"/>
        <v>-58.02469135802469</v>
      </c>
      <c r="I64" s="53">
        <f>_xlfn.IFNA(VLOOKUP($C64,QuyDoi_DonVi!$C:$S,6,FALSE)*$I$2,0)</f>
        <v>0</v>
      </c>
      <c r="J64" s="44">
        <f>_xlfn.IFNA(VLOOKUP($C64,QuyDoi_DonVi!$C:$S,8,FALSE)*$J$2,0)</f>
        <v>192</v>
      </c>
      <c r="K64" s="36">
        <f>_xlfn.IFNA(VLOOKUP($C64,QuyDoi_DonVi!$C:$S,9,FALSE),0)</f>
        <v>216</v>
      </c>
      <c r="L64" s="36">
        <f>_xlfn.IFNA(VLOOKUP($C64,QuyDoi_DonVi!$C:$S,11,FALSE)*$L$2,0)</f>
        <v>0</v>
      </c>
      <c r="M64" s="55">
        <f t="shared" si="3"/>
        <v>0</v>
      </c>
      <c r="N64" s="55">
        <f t="shared" si="4"/>
        <v>19.753086419753085</v>
      </c>
      <c r="O64" s="55">
        <f t="shared" si="5"/>
        <v>22.222222222222221</v>
      </c>
      <c r="P64" s="55">
        <f t="shared" si="6"/>
        <v>0</v>
      </c>
      <c r="Q64" s="55">
        <f t="shared" si="7"/>
        <v>0</v>
      </c>
      <c r="R64" s="55">
        <f t="shared" si="8"/>
        <v>192</v>
      </c>
      <c r="S64" s="55">
        <f t="shared" si="9"/>
        <v>216</v>
      </c>
      <c r="T64" s="55">
        <f t="shared" si="10"/>
        <v>0</v>
      </c>
      <c r="U64" s="36">
        <f>_xlfn.IFNA(VLOOKUP($C64,QuyDoi_DonVi!$C:$S,6,FALSE),0)</f>
        <v>0</v>
      </c>
      <c r="V64" s="57">
        <f t="shared" si="11"/>
        <v>0</v>
      </c>
      <c r="W64" s="40">
        <f t="shared" si="12"/>
        <v>0</v>
      </c>
    </row>
    <row r="65" spans="2:23" ht="15.6">
      <c r="B65" s="10" t="s">
        <v>93</v>
      </c>
      <c r="C65" s="9" t="s">
        <v>216</v>
      </c>
      <c r="D65" s="11" t="s">
        <v>217</v>
      </c>
      <c r="E65" s="43">
        <f>_xlfn.IFNA(VLOOKUP($C65,SOP_Banh!$C:$X,17,FALSE),"")</f>
        <v>1676</v>
      </c>
      <c r="F65" s="54">
        <f t="shared" si="0"/>
        <v>1038</v>
      </c>
      <c r="G65" s="54">
        <f t="shared" si="1"/>
        <v>61.933174224343674</v>
      </c>
      <c r="H65" s="54">
        <f t="shared" si="2"/>
        <v>-38.066825775656326</v>
      </c>
      <c r="I65" s="53">
        <f>_xlfn.IFNA(VLOOKUP($C65,QuyDoi_DonVi!$C:$S,6,FALSE)*$I$2,0)</f>
        <v>0</v>
      </c>
      <c r="J65" s="44">
        <f>_xlfn.IFNA(VLOOKUP($C65,QuyDoi_DonVi!$C:$S,8,FALSE)*$J$2,0)</f>
        <v>320</v>
      </c>
      <c r="K65" s="36">
        <f>_xlfn.IFNA(VLOOKUP($C65,QuyDoi_DonVi!$C:$S,9,FALSE),0)</f>
        <v>648</v>
      </c>
      <c r="L65" s="36">
        <f>_xlfn.IFNA(VLOOKUP($C65,QuyDoi_DonVi!$C:$S,11,FALSE)*$L$2,0)</f>
        <v>70</v>
      </c>
      <c r="M65" s="55">
        <f t="shared" si="3"/>
        <v>0</v>
      </c>
      <c r="N65" s="55">
        <f t="shared" si="4"/>
        <v>19.093078758949879</v>
      </c>
      <c r="O65" s="55">
        <f t="shared" si="5"/>
        <v>38.663484486873507</v>
      </c>
      <c r="P65" s="55">
        <f t="shared" si="6"/>
        <v>4.1766109785202863</v>
      </c>
      <c r="Q65" s="55">
        <f t="shared" si="7"/>
        <v>0</v>
      </c>
      <c r="R65" s="55">
        <f t="shared" si="8"/>
        <v>319.99999999999994</v>
      </c>
      <c r="S65" s="55">
        <f t="shared" si="9"/>
        <v>648</v>
      </c>
      <c r="T65" s="55">
        <f t="shared" si="10"/>
        <v>70</v>
      </c>
      <c r="U65" s="36">
        <f>_xlfn.IFNA(VLOOKUP($C65,QuyDoi_DonVi!$C:$S,6,FALSE),0)</f>
        <v>0</v>
      </c>
      <c r="V65" s="57">
        <f t="shared" si="11"/>
        <v>0</v>
      </c>
      <c r="W65" s="40">
        <f t="shared" si="12"/>
        <v>0</v>
      </c>
    </row>
    <row r="66" spans="2:23" ht="15.6">
      <c r="B66" s="10" t="s">
        <v>219</v>
      </c>
      <c r="C66" s="9" t="s">
        <v>218</v>
      </c>
      <c r="D66" s="11" t="s">
        <v>220</v>
      </c>
      <c r="E66" s="43">
        <f>_xlfn.IFNA(VLOOKUP($C66,SOP_Banh!$C:$X,17,FALSE),"")</f>
        <v>1490</v>
      </c>
      <c r="F66" s="54">
        <f t="shared" si="0"/>
        <v>2582.363636363636</v>
      </c>
      <c r="G66" s="54">
        <f t="shared" si="1"/>
        <v>173.31299572910308</v>
      </c>
      <c r="H66" s="54">
        <f t="shared" si="2"/>
        <v>73.312995729103079</v>
      </c>
      <c r="I66" s="53">
        <f>_xlfn.IFNA(VLOOKUP($C66,QuyDoi_DonVi!$C:$S,6,FALSE)*$I$2,0)</f>
        <v>1636.3636363636363</v>
      </c>
      <c r="J66" s="44">
        <f>_xlfn.IFNA(VLOOKUP($C66,QuyDoi_DonVi!$C:$S,8,FALSE)*$J$2,0)</f>
        <v>304</v>
      </c>
      <c r="K66" s="36">
        <f>_xlfn.IFNA(VLOOKUP($C66,QuyDoi_DonVi!$C:$S,9,FALSE),0)</f>
        <v>432</v>
      </c>
      <c r="L66" s="36">
        <f>_xlfn.IFNA(VLOOKUP($C66,QuyDoi_DonVi!$C:$S,11,FALSE)*$L$2,0)</f>
        <v>210</v>
      </c>
      <c r="M66" s="55">
        <f t="shared" si="3"/>
        <v>109.82306284319706</v>
      </c>
      <c r="N66" s="55">
        <f t="shared" si="4"/>
        <v>20.402684563758388</v>
      </c>
      <c r="O66" s="55">
        <f t="shared" si="5"/>
        <v>28.993288590604028</v>
      </c>
      <c r="P66" s="55">
        <f t="shared" si="6"/>
        <v>14.093959731543624</v>
      </c>
      <c r="Q66" s="55">
        <f t="shared" si="7"/>
        <v>1636.3636363636363</v>
      </c>
      <c r="R66" s="55">
        <f t="shared" si="8"/>
        <v>304</v>
      </c>
      <c r="S66" s="55">
        <f t="shared" si="9"/>
        <v>432</v>
      </c>
      <c r="T66" s="55">
        <f t="shared" si="10"/>
        <v>210</v>
      </c>
      <c r="U66" s="36">
        <f>_xlfn.IFNA(VLOOKUP($C66,QuyDoi_DonVi!$C:$S,6,FALSE),0)</f>
        <v>25</v>
      </c>
      <c r="V66" s="57">
        <f t="shared" si="11"/>
        <v>4.5454545454545459</v>
      </c>
      <c r="W66" s="40">
        <f t="shared" si="12"/>
        <v>25</v>
      </c>
    </row>
    <row r="67" spans="2:23" ht="15.6">
      <c r="B67" s="10" t="s">
        <v>219</v>
      </c>
      <c r="C67" s="9" t="s">
        <v>221</v>
      </c>
      <c r="D67" s="11" t="s">
        <v>222</v>
      </c>
      <c r="E67" s="43">
        <f>_xlfn.IFNA(VLOOKUP($C67,SOP_Banh!$C:$X,17,FALSE),"")</f>
        <v>1016</v>
      </c>
      <c r="F67" s="54">
        <f t="shared" si="0"/>
        <v>548</v>
      </c>
      <c r="G67" s="54">
        <f t="shared" si="1"/>
        <v>53.937007874015748</v>
      </c>
      <c r="H67" s="54">
        <f t="shared" si="2"/>
        <v>-46.062992125984252</v>
      </c>
      <c r="I67" s="53">
        <f>_xlfn.IFNA(VLOOKUP($C67,QuyDoi_DonVi!$C:$S,6,FALSE)*$I$2,0)</f>
        <v>0</v>
      </c>
      <c r="J67" s="44">
        <f>_xlfn.IFNA(VLOOKUP($C67,QuyDoi_DonVi!$C:$S,8,FALSE)*$J$2,0)</f>
        <v>192</v>
      </c>
      <c r="K67" s="36">
        <f>_xlfn.IFNA(VLOOKUP($C67,QuyDoi_DonVi!$C:$S,9,FALSE),0)</f>
        <v>216</v>
      </c>
      <c r="L67" s="36">
        <f>_xlfn.IFNA(VLOOKUP($C67,QuyDoi_DonVi!$C:$S,11,FALSE)*$L$2,0)</f>
        <v>140</v>
      </c>
      <c r="M67" s="55">
        <f t="shared" si="3"/>
        <v>0</v>
      </c>
      <c r="N67" s="55">
        <f t="shared" si="4"/>
        <v>18.897637795275589</v>
      </c>
      <c r="O67" s="55">
        <f t="shared" si="5"/>
        <v>21.259842519685041</v>
      </c>
      <c r="P67" s="55">
        <f t="shared" si="6"/>
        <v>13.779527559055119</v>
      </c>
      <c r="Q67" s="55">
        <f t="shared" si="7"/>
        <v>0</v>
      </c>
      <c r="R67" s="55">
        <f t="shared" si="8"/>
        <v>192</v>
      </c>
      <c r="S67" s="55">
        <f t="shared" si="9"/>
        <v>216</v>
      </c>
      <c r="T67" s="55">
        <f t="shared" si="10"/>
        <v>140</v>
      </c>
      <c r="U67" s="36">
        <f>_xlfn.IFNA(VLOOKUP($C67,QuyDoi_DonVi!$C:$S,6,FALSE),0)</f>
        <v>0</v>
      </c>
      <c r="V67" s="57">
        <f t="shared" si="11"/>
        <v>0</v>
      </c>
      <c r="W67" s="40">
        <f t="shared" si="12"/>
        <v>0</v>
      </c>
    </row>
    <row r="68" spans="2:23" ht="15.6">
      <c r="B68" s="10" t="s">
        <v>219</v>
      </c>
      <c r="C68" s="9" t="s">
        <v>223</v>
      </c>
      <c r="D68" s="11" t="s">
        <v>224</v>
      </c>
      <c r="E68" s="43">
        <f>_xlfn.IFNA(VLOOKUP($C68,SOP_Banh!$C:$X,17,FALSE),"")</f>
        <v>806</v>
      </c>
      <c r="F68" s="54">
        <f t="shared" si="0"/>
        <v>324</v>
      </c>
      <c r="G68" s="54">
        <f t="shared" si="1"/>
        <v>40.198511166253098</v>
      </c>
      <c r="H68" s="54">
        <f t="shared" si="2"/>
        <v>-59.801488833746902</v>
      </c>
      <c r="I68" s="53">
        <f>_xlfn.IFNA(VLOOKUP($C68,QuyDoi_DonVi!$C:$S,6,FALSE)*$I$2,0)</f>
        <v>0</v>
      </c>
      <c r="J68" s="44">
        <f>_xlfn.IFNA(VLOOKUP($C68,QuyDoi_DonVi!$C:$S,8,FALSE)*$J$2,0)</f>
        <v>0</v>
      </c>
      <c r="K68" s="36">
        <f>_xlfn.IFNA(VLOOKUP($C68,QuyDoi_DonVi!$C:$S,9,FALSE),0)</f>
        <v>324</v>
      </c>
      <c r="L68" s="36">
        <f>_xlfn.IFNA(VLOOKUP($C68,QuyDoi_DonVi!$C:$S,11,FALSE)*$L$2,0)</f>
        <v>0</v>
      </c>
      <c r="M68" s="55">
        <f t="shared" si="3"/>
        <v>0</v>
      </c>
      <c r="N68" s="55">
        <f t="shared" si="4"/>
        <v>0</v>
      </c>
      <c r="O68" s="55">
        <f t="shared" si="5"/>
        <v>40.198511166253098</v>
      </c>
      <c r="P68" s="55">
        <f t="shared" si="6"/>
        <v>0</v>
      </c>
      <c r="Q68" s="55">
        <f t="shared" si="7"/>
        <v>0</v>
      </c>
      <c r="R68" s="55">
        <f t="shared" si="8"/>
        <v>0</v>
      </c>
      <c r="S68" s="55">
        <f t="shared" si="9"/>
        <v>323.99999999999994</v>
      </c>
      <c r="T68" s="55">
        <f t="shared" si="10"/>
        <v>0</v>
      </c>
      <c r="U68" s="36">
        <f>_xlfn.IFNA(VLOOKUP($C68,QuyDoi_DonVi!$C:$S,6,FALSE),0)</f>
        <v>0</v>
      </c>
      <c r="V68" s="57">
        <f t="shared" si="11"/>
        <v>0</v>
      </c>
      <c r="W68" s="40">
        <f t="shared" si="12"/>
        <v>0</v>
      </c>
    </row>
    <row r="69" spans="2:23" ht="15.6">
      <c r="B69" s="10" t="s">
        <v>219</v>
      </c>
      <c r="C69" s="9" t="s">
        <v>225</v>
      </c>
      <c r="D69" s="11" t="s">
        <v>226</v>
      </c>
      <c r="E69" s="43">
        <f>_xlfn.IFNA(VLOOKUP($C69,SOP_Banh!$C:$X,17,FALSE),"")</f>
        <v>2532</v>
      </c>
      <c r="F69" s="54">
        <f t="shared" si="0"/>
        <v>1070</v>
      </c>
      <c r="G69" s="54">
        <f t="shared" si="1"/>
        <v>42.259083728278043</v>
      </c>
      <c r="H69" s="54">
        <f t="shared" si="2"/>
        <v>-57.740916271721957</v>
      </c>
      <c r="I69" s="53">
        <f>_xlfn.IFNA(VLOOKUP($C69,QuyDoi_DonVi!$C:$S,6,FALSE)*$I$2,0)</f>
        <v>0</v>
      </c>
      <c r="J69" s="44">
        <f>_xlfn.IFNA(VLOOKUP($C69,QuyDoi_DonVi!$C:$S,8,FALSE)*$J$2,0)</f>
        <v>320</v>
      </c>
      <c r="K69" s="36">
        <f>_xlfn.IFNA(VLOOKUP($C69,QuyDoi_DonVi!$C:$S,9,FALSE),0)</f>
        <v>540</v>
      </c>
      <c r="L69" s="36">
        <f>_xlfn.IFNA(VLOOKUP($C69,QuyDoi_DonVi!$C:$S,11,FALSE)*$L$2,0)</f>
        <v>210</v>
      </c>
      <c r="M69" s="55">
        <f t="shared" si="3"/>
        <v>0</v>
      </c>
      <c r="N69" s="55">
        <f t="shared" si="4"/>
        <v>12.638230647709321</v>
      </c>
      <c r="O69" s="55">
        <f t="shared" si="5"/>
        <v>21.327014218009477</v>
      </c>
      <c r="P69" s="55">
        <f t="shared" si="6"/>
        <v>8.293838862559241</v>
      </c>
      <c r="Q69" s="55">
        <f t="shared" si="7"/>
        <v>0</v>
      </c>
      <c r="R69" s="55">
        <f t="shared" si="8"/>
        <v>320</v>
      </c>
      <c r="S69" s="55">
        <f t="shared" si="9"/>
        <v>540</v>
      </c>
      <c r="T69" s="55">
        <f t="shared" si="10"/>
        <v>209.99999999999997</v>
      </c>
      <c r="U69" s="36">
        <f>_xlfn.IFNA(VLOOKUP($C69,QuyDoi_DonVi!$C:$S,6,FALSE),0)</f>
        <v>0</v>
      </c>
      <c r="V69" s="57">
        <f t="shared" si="11"/>
        <v>0</v>
      </c>
      <c r="W69" s="40">
        <f t="shared" si="12"/>
        <v>0</v>
      </c>
    </row>
    <row r="70" spans="2:23" ht="15.6">
      <c r="B70" s="10" t="s">
        <v>219</v>
      </c>
      <c r="C70" s="9" t="s">
        <v>227</v>
      </c>
      <c r="D70" s="11" t="s">
        <v>228</v>
      </c>
      <c r="E70" s="43">
        <f>_xlfn.IFNA(VLOOKUP($C70,SOP_Banh!$C:$X,17,FALSE),"")</f>
        <v>1302</v>
      </c>
      <c r="F70" s="54">
        <f t="shared" ref="F70:F97" si="13">SUM(I70:L70)</f>
        <v>1010</v>
      </c>
      <c r="G70" s="54">
        <f t="shared" ref="G70:G97" si="14">IFERROR(F70*100/E70,0)</f>
        <v>77.572964669738866</v>
      </c>
      <c r="H70" s="54">
        <f t="shared" ref="H70:H97" si="15">G70-100</f>
        <v>-22.427035330261134</v>
      </c>
      <c r="I70" s="53">
        <f>_xlfn.IFNA(VLOOKUP($C70,QuyDoi_DonVi!$C:$S,6,FALSE)*$I$2,0)</f>
        <v>0</v>
      </c>
      <c r="J70" s="44">
        <f>_xlfn.IFNA(VLOOKUP($C70,QuyDoi_DonVi!$C:$S,8,FALSE)*$J$2,0)</f>
        <v>368</v>
      </c>
      <c r="K70" s="36">
        <f>_xlfn.IFNA(VLOOKUP($C70,QuyDoi_DonVi!$C:$S,9,FALSE),0)</f>
        <v>432</v>
      </c>
      <c r="L70" s="36">
        <f>_xlfn.IFNA(VLOOKUP($C70,QuyDoi_DonVi!$C:$S,11,FALSE)*$L$2,0)</f>
        <v>210</v>
      </c>
      <c r="M70" s="55">
        <f t="shared" ref="M70:M97" si="16">IFERROR(I70*100/E70,0)</f>
        <v>0</v>
      </c>
      <c r="N70" s="55">
        <f t="shared" ref="N70:N97" si="17">IFERROR(J70*100/E70,0)</f>
        <v>28.2642089093702</v>
      </c>
      <c r="O70" s="55">
        <f t="shared" ref="O70:O97" si="18">IFERROR(K70*100/E70,0)</f>
        <v>33.179723502304149</v>
      </c>
      <c r="P70" s="55">
        <f t="shared" ref="P70:P97" si="19">IFERROR(L70*100/E70,0)</f>
        <v>16.129032258064516</v>
      </c>
      <c r="Q70" s="55">
        <f t="shared" ref="Q70:Q97" si="20">IFERROR(M70*E70/100,0)</f>
        <v>0</v>
      </c>
      <c r="R70" s="55">
        <f t="shared" ref="R70:R97" si="21">IFERROR(N70*E70/100,0)</f>
        <v>368</v>
      </c>
      <c r="S70" s="55">
        <f t="shared" ref="S70:S97" si="22">IFERROR(O70*E70/100,0)</f>
        <v>432</v>
      </c>
      <c r="T70" s="55">
        <f t="shared" ref="T70:T97" si="23">IFERROR(P70*E70/100,0)</f>
        <v>210</v>
      </c>
      <c r="U70" s="36">
        <f>_xlfn.IFNA(VLOOKUP($C70,QuyDoi_DonVi!$C:$S,6,FALSE),0)</f>
        <v>0</v>
      </c>
      <c r="V70" s="57">
        <f t="shared" ref="V70:V97" si="24">U70*$V$2/100</f>
        <v>0</v>
      </c>
      <c r="W70" s="40">
        <f t="shared" ref="W70:W97" si="25">U70</f>
        <v>0</v>
      </c>
    </row>
    <row r="71" spans="2:23" ht="15.6">
      <c r="B71" s="10" t="s">
        <v>219</v>
      </c>
      <c r="C71" s="9" t="s">
        <v>229</v>
      </c>
      <c r="D71" s="11" t="s">
        <v>230</v>
      </c>
      <c r="E71" s="43">
        <f>_xlfn.IFNA(VLOOKUP($C71,SOP_Banh!$C:$X,17,FALSE),"")</f>
        <v>1842</v>
      </c>
      <c r="F71" s="54">
        <f t="shared" si="13"/>
        <v>2534.363636363636</v>
      </c>
      <c r="G71" s="54">
        <f t="shared" si="14"/>
        <v>137.5876024084493</v>
      </c>
      <c r="H71" s="54">
        <f t="shared" si="15"/>
        <v>37.5876024084493</v>
      </c>
      <c r="I71" s="53">
        <f>_xlfn.IFNA(VLOOKUP($C71,QuyDoi_DonVi!$C:$S,6,FALSE)*$I$2,0)</f>
        <v>1636.3636363636363</v>
      </c>
      <c r="J71" s="44">
        <f>_xlfn.IFNA(VLOOKUP($C71,QuyDoi_DonVi!$C:$S,8,FALSE)*$J$2,0)</f>
        <v>256</v>
      </c>
      <c r="K71" s="36">
        <f>_xlfn.IFNA(VLOOKUP($C71,QuyDoi_DonVi!$C:$S,9,FALSE),0)</f>
        <v>432</v>
      </c>
      <c r="L71" s="36">
        <f>_xlfn.IFNA(VLOOKUP($C71,QuyDoi_DonVi!$C:$S,11,FALSE)*$L$2,0)</f>
        <v>210</v>
      </c>
      <c r="M71" s="55">
        <f t="shared" si="16"/>
        <v>88.836245188036713</v>
      </c>
      <c r="N71" s="55">
        <f t="shared" si="17"/>
        <v>13.897937024972856</v>
      </c>
      <c r="O71" s="55">
        <f t="shared" si="18"/>
        <v>23.452768729641694</v>
      </c>
      <c r="P71" s="55">
        <f t="shared" si="19"/>
        <v>11.400651465798045</v>
      </c>
      <c r="Q71" s="55">
        <f t="shared" si="20"/>
        <v>1636.3636363636363</v>
      </c>
      <c r="R71" s="55">
        <f t="shared" si="21"/>
        <v>256</v>
      </c>
      <c r="S71" s="55">
        <f t="shared" si="22"/>
        <v>432</v>
      </c>
      <c r="T71" s="55">
        <f t="shared" si="23"/>
        <v>210</v>
      </c>
      <c r="U71" s="36">
        <f>_xlfn.IFNA(VLOOKUP($C71,QuyDoi_DonVi!$C:$S,6,FALSE),0)</f>
        <v>25</v>
      </c>
      <c r="V71" s="57">
        <f t="shared" si="24"/>
        <v>4.5454545454545459</v>
      </c>
      <c r="W71" s="40">
        <f t="shared" si="25"/>
        <v>25</v>
      </c>
    </row>
    <row r="72" spans="2:23" ht="15.6">
      <c r="B72" s="10" t="s">
        <v>219</v>
      </c>
      <c r="C72" s="9" t="s">
        <v>231</v>
      </c>
      <c r="D72" s="11" t="s">
        <v>232</v>
      </c>
      <c r="E72" s="43">
        <f>_xlfn.IFNA(VLOOKUP($C72,SOP_Banh!$C:$X,17,FALSE),"")</f>
        <v>1620</v>
      </c>
      <c r="F72" s="54">
        <f t="shared" si="13"/>
        <v>1076</v>
      </c>
      <c r="G72" s="54">
        <f t="shared" si="14"/>
        <v>66.419753086419746</v>
      </c>
      <c r="H72" s="54">
        <f t="shared" si="15"/>
        <v>-33.580246913580254</v>
      </c>
      <c r="I72" s="53">
        <f>_xlfn.IFNA(VLOOKUP($C72,QuyDoi_DonVi!$C:$S,6,FALSE)*$I$2,0)</f>
        <v>0</v>
      </c>
      <c r="J72" s="44">
        <f>_xlfn.IFNA(VLOOKUP($C72,QuyDoi_DonVi!$C:$S,8,FALSE)*$J$2,0)</f>
        <v>256</v>
      </c>
      <c r="K72" s="36">
        <f>_xlfn.IFNA(VLOOKUP($C72,QuyDoi_DonVi!$C:$S,9,FALSE),0)</f>
        <v>540</v>
      </c>
      <c r="L72" s="36">
        <f>_xlfn.IFNA(VLOOKUP($C72,QuyDoi_DonVi!$C:$S,11,FALSE)*$L$2,0)</f>
        <v>280</v>
      </c>
      <c r="M72" s="55">
        <f t="shared" si="16"/>
        <v>0</v>
      </c>
      <c r="N72" s="55">
        <f t="shared" si="17"/>
        <v>15.802469135802468</v>
      </c>
      <c r="O72" s="55">
        <f t="shared" si="18"/>
        <v>33.333333333333336</v>
      </c>
      <c r="P72" s="55">
        <f t="shared" si="19"/>
        <v>17.283950617283949</v>
      </c>
      <c r="Q72" s="55">
        <f t="shared" si="20"/>
        <v>0</v>
      </c>
      <c r="R72" s="55">
        <f t="shared" si="21"/>
        <v>256</v>
      </c>
      <c r="S72" s="55">
        <f t="shared" si="22"/>
        <v>540.00000000000011</v>
      </c>
      <c r="T72" s="55">
        <f t="shared" si="23"/>
        <v>279.99999999999994</v>
      </c>
      <c r="U72" s="36">
        <f>_xlfn.IFNA(VLOOKUP($C72,QuyDoi_DonVi!$C:$S,6,FALSE),0)</f>
        <v>0</v>
      </c>
      <c r="V72" s="57">
        <f t="shared" si="24"/>
        <v>0</v>
      </c>
      <c r="W72" s="40">
        <f t="shared" si="25"/>
        <v>0</v>
      </c>
    </row>
    <row r="73" spans="2:23" ht="15.6">
      <c r="B73" s="14" t="s">
        <v>219</v>
      </c>
      <c r="C73" s="13" t="s">
        <v>233</v>
      </c>
      <c r="D73" s="15" t="s">
        <v>234</v>
      </c>
      <c r="E73" s="43">
        <f>_xlfn.IFNA(VLOOKUP($C73,SOP_Banh!$C:$X,17,FALSE),"")</f>
        <v>1170</v>
      </c>
      <c r="F73" s="54">
        <f t="shared" si="13"/>
        <v>548</v>
      </c>
      <c r="G73" s="54">
        <f t="shared" si="14"/>
        <v>46.837606837606835</v>
      </c>
      <c r="H73" s="54">
        <f t="shared" si="15"/>
        <v>-53.162393162393165</v>
      </c>
      <c r="I73" s="53">
        <f>_xlfn.IFNA(VLOOKUP($C73,QuyDoi_DonVi!$C:$S,6,FALSE)*$I$2,0)</f>
        <v>0</v>
      </c>
      <c r="J73" s="44">
        <f>_xlfn.IFNA(VLOOKUP($C73,QuyDoi_DonVi!$C:$S,8,FALSE)*$J$2,0)</f>
        <v>224</v>
      </c>
      <c r="K73" s="36">
        <f>_xlfn.IFNA(VLOOKUP($C73,QuyDoi_DonVi!$C:$S,9,FALSE),0)</f>
        <v>324</v>
      </c>
      <c r="L73" s="36">
        <f>_xlfn.IFNA(VLOOKUP($C73,QuyDoi_DonVi!$C:$S,11,FALSE)*$L$2,0)</f>
        <v>0</v>
      </c>
      <c r="M73" s="55">
        <f t="shared" si="16"/>
        <v>0</v>
      </c>
      <c r="N73" s="55">
        <f t="shared" si="17"/>
        <v>19.145299145299145</v>
      </c>
      <c r="O73" s="55">
        <f t="shared" si="18"/>
        <v>27.692307692307693</v>
      </c>
      <c r="P73" s="55">
        <f t="shared" si="19"/>
        <v>0</v>
      </c>
      <c r="Q73" s="55">
        <f t="shared" si="20"/>
        <v>0</v>
      </c>
      <c r="R73" s="55">
        <f t="shared" si="21"/>
        <v>224</v>
      </c>
      <c r="S73" s="55">
        <f t="shared" si="22"/>
        <v>324</v>
      </c>
      <c r="T73" s="55">
        <f t="shared" si="23"/>
        <v>0</v>
      </c>
      <c r="U73" s="36">
        <f>_xlfn.IFNA(VLOOKUP($C73,QuyDoi_DonVi!$C:$S,6,FALSE),0)</f>
        <v>0</v>
      </c>
      <c r="V73" s="57">
        <f t="shared" si="24"/>
        <v>0</v>
      </c>
      <c r="W73" s="40">
        <f t="shared" si="25"/>
        <v>0</v>
      </c>
    </row>
    <row r="74" spans="2:23" ht="15.6">
      <c r="B74" s="10" t="s">
        <v>219</v>
      </c>
      <c r="C74" s="9" t="s">
        <v>235</v>
      </c>
      <c r="D74" s="11" t="s">
        <v>236</v>
      </c>
      <c r="E74" s="43">
        <f>_xlfn.IFNA(VLOOKUP($C74,SOP_Banh!$C:$X,17,FALSE),"")</f>
        <v>1040</v>
      </c>
      <c r="F74" s="54">
        <f t="shared" si="13"/>
        <v>1808.3636363636363</v>
      </c>
      <c r="G74" s="54">
        <f t="shared" si="14"/>
        <v>173.88111888111885</v>
      </c>
      <c r="H74" s="54">
        <f t="shared" si="15"/>
        <v>73.881118881118852</v>
      </c>
      <c r="I74" s="53">
        <f>_xlfn.IFNA(VLOOKUP($C74,QuyDoi_DonVi!$C:$S,6,FALSE)*$I$2,0)</f>
        <v>1636.3636363636363</v>
      </c>
      <c r="J74" s="44">
        <f>_xlfn.IFNA(VLOOKUP($C74,QuyDoi_DonVi!$C:$S,8,FALSE)*$J$2,0)</f>
        <v>64</v>
      </c>
      <c r="K74" s="36">
        <f>_xlfn.IFNA(VLOOKUP($C74,QuyDoi_DonVi!$C:$S,9,FALSE),0)</f>
        <v>108</v>
      </c>
      <c r="L74" s="36">
        <f>_xlfn.IFNA(VLOOKUP($C74,QuyDoi_DonVi!$C:$S,11,FALSE)*$L$2,0)</f>
        <v>0</v>
      </c>
      <c r="M74" s="55">
        <f t="shared" si="16"/>
        <v>157.34265734265733</v>
      </c>
      <c r="N74" s="55">
        <f t="shared" si="17"/>
        <v>6.1538461538461542</v>
      </c>
      <c r="O74" s="55">
        <f t="shared" si="18"/>
        <v>10.384615384615385</v>
      </c>
      <c r="P74" s="55">
        <f t="shared" si="19"/>
        <v>0</v>
      </c>
      <c r="Q74" s="55">
        <f t="shared" si="20"/>
        <v>1636.3636363636363</v>
      </c>
      <c r="R74" s="55">
        <f t="shared" si="21"/>
        <v>64</v>
      </c>
      <c r="S74" s="55">
        <f t="shared" si="22"/>
        <v>108</v>
      </c>
      <c r="T74" s="55">
        <f t="shared" si="23"/>
        <v>0</v>
      </c>
      <c r="U74" s="36">
        <f>_xlfn.IFNA(VLOOKUP($C74,QuyDoi_DonVi!$C:$S,6,FALSE),0)</f>
        <v>25</v>
      </c>
      <c r="V74" s="57">
        <f t="shared" si="24"/>
        <v>4.5454545454545459</v>
      </c>
      <c r="W74" s="40">
        <f t="shared" si="25"/>
        <v>25</v>
      </c>
    </row>
    <row r="75" spans="2:23" ht="15.6">
      <c r="B75" s="10" t="s">
        <v>219</v>
      </c>
      <c r="C75" s="9" t="s">
        <v>237</v>
      </c>
      <c r="D75" s="11" t="s">
        <v>238</v>
      </c>
      <c r="E75" s="43">
        <f>_xlfn.IFNA(VLOOKUP($C75,SOP_Banh!$C:$X,17,FALSE),"")</f>
        <v>1598</v>
      </c>
      <c r="F75" s="54">
        <f t="shared" si="13"/>
        <v>3056.363636363636</v>
      </c>
      <c r="G75" s="54">
        <f t="shared" si="14"/>
        <v>191.26180452838773</v>
      </c>
      <c r="H75" s="54">
        <f t="shared" si="15"/>
        <v>91.261804528387728</v>
      </c>
      <c r="I75" s="53">
        <f>_xlfn.IFNA(VLOOKUP($C75,QuyDoi_DonVi!$C:$S,6,FALSE)*$I$2,0)</f>
        <v>1636.3636363636363</v>
      </c>
      <c r="J75" s="44">
        <f>_xlfn.IFNA(VLOOKUP($C75,QuyDoi_DonVi!$C:$S,8,FALSE)*$J$2,0)</f>
        <v>352</v>
      </c>
      <c r="K75" s="36">
        <f>_xlfn.IFNA(VLOOKUP($C75,QuyDoi_DonVi!$C:$S,9,FALSE),0)</f>
        <v>648</v>
      </c>
      <c r="L75" s="36">
        <f>_xlfn.IFNA(VLOOKUP($C75,QuyDoi_DonVi!$C:$S,11,FALSE)*$L$2,0)</f>
        <v>420</v>
      </c>
      <c r="M75" s="55">
        <f t="shared" si="16"/>
        <v>102.40072818295596</v>
      </c>
      <c r="N75" s="55">
        <f t="shared" si="17"/>
        <v>22.02753441802253</v>
      </c>
      <c r="O75" s="55">
        <f t="shared" si="18"/>
        <v>40.550688360450565</v>
      </c>
      <c r="P75" s="55">
        <f t="shared" si="19"/>
        <v>26.2828535669587</v>
      </c>
      <c r="Q75" s="55">
        <f t="shared" si="20"/>
        <v>1636.3636363636363</v>
      </c>
      <c r="R75" s="55">
        <f t="shared" si="21"/>
        <v>352</v>
      </c>
      <c r="S75" s="55">
        <f t="shared" si="22"/>
        <v>648</v>
      </c>
      <c r="T75" s="55">
        <f t="shared" si="23"/>
        <v>420</v>
      </c>
      <c r="U75" s="36">
        <f>_xlfn.IFNA(VLOOKUP($C75,QuyDoi_DonVi!$C:$S,6,FALSE),0)</f>
        <v>25</v>
      </c>
      <c r="V75" s="57">
        <f t="shared" si="24"/>
        <v>4.5454545454545459</v>
      </c>
      <c r="W75" s="40">
        <f t="shared" si="25"/>
        <v>25</v>
      </c>
    </row>
    <row r="76" spans="2:23" ht="15.6">
      <c r="B76" s="10" t="s">
        <v>219</v>
      </c>
      <c r="C76" s="9" t="s">
        <v>239</v>
      </c>
      <c r="D76" s="11" t="s">
        <v>240</v>
      </c>
      <c r="E76" s="43">
        <f>_xlfn.IFNA(VLOOKUP($C76,SOP_Banh!$C:$X,17,FALSE),"")</f>
        <v>2236</v>
      </c>
      <c r="F76" s="54">
        <f t="shared" si="13"/>
        <v>7133.090909090909</v>
      </c>
      <c r="G76" s="54">
        <f t="shared" si="14"/>
        <v>319.01122133680275</v>
      </c>
      <c r="H76" s="54">
        <f t="shared" si="15"/>
        <v>219.01122133680275</v>
      </c>
      <c r="I76" s="53">
        <f>_xlfn.IFNA(VLOOKUP($C76,QuyDoi_DonVi!$C:$S,6,FALSE)*$I$2,0)</f>
        <v>4909.090909090909</v>
      </c>
      <c r="J76" s="44">
        <f>_xlfn.IFNA(VLOOKUP($C76,QuyDoi_DonVi!$C:$S,8,FALSE)*$J$2,0)</f>
        <v>832</v>
      </c>
      <c r="K76" s="36">
        <f>_xlfn.IFNA(VLOOKUP($C76,QuyDoi_DonVi!$C:$S,9,FALSE),0)</f>
        <v>972</v>
      </c>
      <c r="L76" s="36">
        <f>_xlfn.IFNA(VLOOKUP($C76,QuyDoi_DonVi!$C:$S,11,FALSE)*$L$2,0)</f>
        <v>420</v>
      </c>
      <c r="M76" s="55">
        <f t="shared" si="16"/>
        <v>219.54789396649861</v>
      </c>
      <c r="N76" s="55">
        <f t="shared" si="17"/>
        <v>37.209302325581397</v>
      </c>
      <c r="O76" s="55">
        <f t="shared" si="18"/>
        <v>43.470483005366724</v>
      </c>
      <c r="P76" s="55">
        <f t="shared" si="19"/>
        <v>18.783542039355993</v>
      </c>
      <c r="Q76" s="55">
        <f t="shared" si="20"/>
        <v>4909.090909090909</v>
      </c>
      <c r="R76" s="55">
        <f t="shared" si="21"/>
        <v>832</v>
      </c>
      <c r="S76" s="55">
        <f t="shared" si="22"/>
        <v>972</v>
      </c>
      <c r="T76" s="55">
        <f t="shared" si="23"/>
        <v>420</v>
      </c>
      <c r="U76" s="36">
        <f>_xlfn.IFNA(VLOOKUP($C76,QuyDoi_DonVi!$C:$S,6,FALSE),0)</f>
        <v>75</v>
      </c>
      <c r="V76" s="57">
        <f t="shared" si="24"/>
        <v>13.636363636363637</v>
      </c>
      <c r="W76" s="40">
        <f t="shared" si="25"/>
        <v>75</v>
      </c>
    </row>
    <row r="77" spans="2:23" ht="15.6">
      <c r="B77" s="10" t="s">
        <v>219</v>
      </c>
      <c r="C77" s="9" t="s">
        <v>241</v>
      </c>
      <c r="D77" s="11" t="s">
        <v>242</v>
      </c>
      <c r="E77" s="43">
        <f>_xlfn.IFNA(VLOOKUP($C77,SOP_Banh!$C:$X,17,FALSE),"")</f>
        <v>2206</v>
      </c>
      <c r="F77" s="54">
        <f t="shared" si="13"/>
        <v>2204.363636363636</v>
      </c>
      <c r="G77" s="54">
        <f t="shared" si="14"/>
        <v>99.925822137970798</v>
      </c>
      <c r="H77" s="54">
        <f t="shared" si="15"/>
        <v>-7.4177862029202402E-2</v>
      </c>
      <c r="I77" s="53">
        <f>_xlfn.IFNA(VLOOKUP($C77,QuyDoi_DonVi!$C:$S,6,FALSE)*$I$2,0)</f>
        <v>1636.3636363636363</v>
      </c>
      <c r="J77" s="44">
        <f>_xlfn.IFNA(VLOOKUP($C77,QuyDoi_DonVi!$C:$S,8,FALSE)*$J$2,0)</f>
        <v>352</v>
      </c>
      <c r="K77" s="36">
        <f>_xlfn.IFNA(VLOOKUP($C77,QuyDoi_DonVi!$C:$S,9,FALSE),0)</f>
        <v>216</v>
      </c>
      <c r="L77" s="36">
        <f>_xlfn.IFNA(VLOOKUP($C77,QuyDoi_DonVi!$C:$S,11,FALSE)*$L$2,0)</f>
        <v>0</v>
      </c>
      <c r="M77" s="55">
        <f t="shared" si="16"/>
        <v>74.177862029176623</v>
      </c>
      <c r="N77" s="55">
        <f t="shared" si="17"/>
        <v>15.956482320942882</v>
      </c>
      <c r="O77" s="55">
        <f t="shared" si="18"/>
        <v>9.7914777878513153</v>
      </c>
      <c r="P77" s="55">
        <f t="shared" si="19"/>
        <v>0</v>
      </c>
      <c r="Q77" s="55">
        <f t="shared" si="20"/>
        <v>1636.3636363636363</v>
      </c>
      <c r="R77" s="55">
        <f t="shared" si="21"/>
        <v>352</v>
      </c>
      <c r="S77" s="55">
        <f t="shared" si="22"/>
        <v>216</v>
      </c>
      <c r="T77" s="55">
        <f t="shared" si="23"/>
        <v>0</v>
      </c>
      <c r="U77" s="36">
        <f>_xlfn.IFNA(VLOOKUP($C77,QuyDoi_DonVi!$C:$S,6,FALSE),0)</f>
        <v>25</v>
      </c>
      <c r="V77" s="57">
        <f t="shared" si="24"/>
        <v>4.5454545454545459</v>
      </c>
      <c r="W77" s="40">
        <f t="shared" si="25"/>
        <v>25</v>
      </c>
    </row>
    <row r="78" spans="2:23" ht="15.6">
      <c r="B78" s="10" t="s">
        <v>219</v>
      </c>
      <c r="C78" s="9" t="s">
        <v>243</v>
      </c>
      <c r="D78" s="11" t="s">
        <v>244</v>
      </c>
      <c r="E78" s="43">
        <f>_xlfn.IFNA(VLOOKUP($C78,SOP_Banh!$C:$X,17,FALSE),"")</f>
        <v>1730</v>
      </c>
      <c r="F78" s="54">
        <f t="shared" si="13"/>
        <v>670</v>
      </c>
      <c r="G78" s="54">
        <f t="shared" si="14"/>
        <v>38.728323699421964</v>
      </c>
      <c r="H78" s="54">
        <f t="shared" si="15"/>
        <v>-61.271676300578036</v>
      </c>
      <c r="I78" s="53">
        <f>_xlfn.IFNA(VLOOKUP($C78,QuyDoi_DonVi!$C:$S,6,FALSE)*$I$2,0)</f>
        <v>0</v>
      </c>
      <c r="J78" s="44">
        <f>_xlfn.IFNA(VLOOKUP($C78,QuyDoi_DonVi!$C:$S,8,FALSE)*$J$2,0)</f>
        <v>320</v>
      </c>
      <c r="K78" s="36">
        <f>_xlfn.IFNA(VLOOKUP($C78,QuyDoi_DonVi!$C:$S,9,FALSE),0)</f>
        <v>0</v>
      </c>
      <c r="L78" s="36">
        <f>_xlfn.IFNA(VLOOKUP($C78,QuyDoi_DonVi!$C:$S,11,FALSE)*$L$2,0)</f>
        <v>350</v>
      </c>
      <c r="M78" s="55">
        <f t="shared" si="16"/>
        <v>0</v>
      </c>
      <c r="N78" s="55">
        <f t="shared" si="17"/>
        <v>18.497109826589597</v>
      </c>
      <c r="O78" s="55">
        <f t="shared" si="18"/>
        <v>0</v>
      </c>
      <c r="P78" s="55">
        <f t="shared" si="19"/>
        <v>20.23121387283237</v>
      </c>
      <c r="Q78" s="55">
        <f t="shared" si="20"/>
        <v>0</v>
      </c>
      <c r="R78" s="55">
        <f t="shared" si="21"/>
        <v>320.00000000000006</v>
      </c>
      <c r="S78" s="55">
        <f t="shared" si="22"/>
        <v>0</v>
      </c>
      <c r="T78" s="55">
        <f t="shared" si="23"/>
        <v>350</v>
      </c>
      <c r="U78" s="36">
        <f>_xlfn.IFNA(VLOOKUP($C78,QuyDoi_DonVi!$C:$S,6,FALSE),0)</f>
        <v>0</v>
      </c>
      <c r="V78" s="57">
        <f t="shared" si="24"/>
        <v>0</v>
      </c>
      <c r="W78" s="40">
        <f t="shared" si="25"/>
        <v>0</v>
      </c>
    </row>
    <row r="79" spans="2:23" ht="15.6">
      <c r="B79" s="10" t="s">
        <v>219</v>
      </c>
      <c r="C79" s="9" t="s">
        <v>245</v>
      </c>
      <c r="D79" s="11" t="s">
        <v>246</v>
      </c>
      <c r="E79" s="43">
        <f>_xlfn.IFNA(VLOOKUP($C79,SOP_Banh!$C:$X,17,FALSE),"")</f>
        <v>474</v>
      </c>
      <c r="F79" s="54">
        <f t="shared" si="13"/>
        <v>344</v>
      </c>
      <c r="G79" s="54">
        <f t="shared" si="14"/>
        <v>72.573839662447256</v>
      </c>
      <c r="H79" s="54">
        <f t="shared" si="15"/>
        <v>-27.426160337552744</v>
      </c>
      <c r="I79" s="53">
        <f>_xlfn.IFNA(VLOOKUP($C79,QuyDoi_DonVi!$C:$S,6,FALSE)*$I$2,0)</f>
        <v>0</v>
      </c>
      <c r="J79" s="44">
        <f>_xlfn.IFNA(VLOOKUP($C79,QuyDoi_DonVi!$C:$S,8,FALSE)*$J$2,0)</f>
        <v>128</v>
      </c>
      <c r="K79" s="36">
        <f>_xlfn.IFNA(VLOOKUP($C79,QuyDoi_DonVi!$C:$S,9,FALSE),0)</f>
        <v>216</v>
      </c>
      <c r="L79" s="36">
        <f>_xlfn.IFNA(VLOOKUP($C79,QuyDoi_DonVi!$C:$S,11,FALSE)*$L$2,0)</f>
        <v>0</v>
      </c>
      <c r="M79" s="55">
        <f t="shared" si="16"/>
        <v>0</v>
      </c>
      <c r="N79" s="55">
        <f t="shared" si="17"/>
        <v>27.004219409282701</v>
      </c>
      <c r="O79" s="55">
        <f t="shared" si="18"/>
        <v>45.569620253164558</v>
      </c>
      <c r="P79" s="55">
        <f t="shared" si="19"/>
        <v>0</v>
      </c>
      <c r="Q79" s="55">
        <f t="shared" si="20"/>
        <v>0</v>
      </c>
      <c r="R79" s="55">
        <f t="shared" si="21"/>
        <v>128</v>
      </c>
      <c r="S79" s="55">
        <f t="shared" si="22"/>
        <v>216</v>
      </c>
      <c r="T79" s="55">
        <f t="shared" si="23"/>
        <v>0</v>
      </c>
      <c r="U79" s="36">
        <f>_xlfn.IFNA(VLOOKUP($C79,QuyDoi_DonVi!$C:$S,6,FALSE),0)</f>
        <v>0</v>
      </c>
      <c r="V79" s="57">
        <f t="shared" si="24"/>
        <v>0</v>
      </c>
      <c r="W79" s="40">
        <f t="shared" si="25"/>
        <v>0</v>
      </c>
    </row>
    <row r="80" spans="2:23" ht="15.6">
      <c r="B80" s="10" t="s">
        <v>219</v>
      </c>
      <c r="C80" s="9" t="s">
        <v>247</v>
      </c>
      <c r="D80" s="11" t="s">
        <v>248</v>
      </c>
      <c r="E80" s="43">
        <f>_xlfn.IFNA(VLOOKUP($C80,SOP_Banh!$C:$X,17,FALSE),"")</f>
        <v>1246</v>
      </c>
      <c r="F80" s="54">
        <f t="shared" si="13"/>
        <v>850</v>
      </c>
      <c r="G80" s="54">
        <f t="shared" si="14"/>
        <v>68.218298555377203</v>
      </c>
      <c r="H80" s="54">
        <f t="shared" si="15"/>
        <v>-31.781701444622797</v>
      </c>
      <c r="I80" s="53">
        <f>_xlfn.IFNA(VLOOKUP($C80,QuyDoi_DonVi!$C:$S,6,FALSE)*$I$2,0)</f>
        <v>0</v>
      </c>
      <c r="J80" s="44">
        <f>_xlfn.IFNA(VLOOKUP($C80,QuyDoi_DonVi!$C:$S,8,FALSE)*$J$2,0)</f>
        <v>208</v>
      </c>
      <c r="K80" s="36">
        <f>_xlfn.IFNA(VLOOKUP($C80,QuyDoi_DonVi!$C:$S,9,FALSE),0)</f>
        <v>432</v>
      </c>
      <c r="L80" s="36">
        <f>_xlfn.IFNA(VLOOKUP($C80,QuyDoi_DonVi!$C:$S,11,FALSE)*$L$2,0)</f>
        <v>210</v>
      </c>
      <c r="M80" s="55">
        <f t="shared" si="16"/>
        <v>0</v>
      </c>
      <c r="N80" s="55">
        <f t="shared" si="17"/>
        <v>16.693418940609952</v>
      </c>
      <c r="O80" s="55">
        <f t="shared" si="18"/>
        <v>34.670947030497594</v>
      </c>
      <c r="P80" s="55">
        <f t="shared" si="19"/>
        <v>16.853932584269664</v>
      </c>
      <c r="Q80" s="55">
        <f t="shared" si="20"/>
        <v>0</v>
      </c>
      <c r="R80" s="55">
        <f t="shared" si="21"/>
        <v>208</v>
      </c>
      <c r="S80" s="55">
        <f t="shared" si="22"/>
        <v>432</v>
      </c>
      <c r="T80" s="55">
        <f t="shared" si="23"/>
        <v>210</v>
      </c>
      <c r="U80" s="36">
        <f>_xlfn.IFNA(VLOOKUP($C80,QuyDoi_DonVi!$C:$S,6,FALSE),0)</f>
        <v>0</v>
      </c>
      <c r="V80" s="57">
        <f t="shared" si="24"/>
        <v>0</v>
      </c>
      <c r="W80" s="40">
        <f t="shared" si="25"/>
        <v>0</v>
      </c>
    </row>
    <row r="81" spans="2:23" ht="15.6">
      <c r="B81" s="10" t="s">
        <v>219</v>
      </c>
      <c r="C81" s="9" t="s">
        <v>249</v>
      </c>
      <c r="D81" s="11" t="s">
        <v>250</v>
      </c>
      <c r="E81" s="43">
        <f>_xlfn.IFNA(VLOOKUP($C81,SOP_Banh!$C:$X,17,FALSE),"")</f>
        <v>782</v>
      </c>
      <c r="F81" s="54">
        <f t="shared" si="13"/>
        <v>472</v>
      </c>
      <c r="G81" s="54">
        <f t="shared" si="14"/>
        <v>60.358056265984658</v>
      </c>
      <c r="H81" s="54">
        <f t="shared" si="15"/>
        <v>-39.641943734015342</v>
      </c>
      <c r="I81" s="53">
        <f>_xlfn.IFNA(VLOOKUP($C81,QuyDoi_DonVi!$C:$S,6,FALSE)*$I$2,0)</f>
        <v>0</v>
      </c>
      <c r="J81" s="44">
        <f>_xlfn.IFNA(VLOOKUP($C81,QuyDoi_DonVi!$C:$S,8,FALSE)*$J$2,0)</f>
        <v>256</v>
      </c>
      <c r="K81" s="36">
        <f>_xlfn.IFNA(VLOOKUP($C81,QuyDoi_DonVi!$C:$S,9,FALSE),0)</f>
        <v>216</v>
      </c>
      <c r="L81" s="36">
        <f>_xlfn.IFNA(VLOOKUP($C81,QuyDoi_DonVi!$C:$S,11,FALSE)*$L$2,0)</f>
        <v>0</v>
      </c>
      <c r="M81" s="55">
        <f t="shared" si="16"/>
        <v>0</v>
      </c>
      <c r="N81" s="55">
        <f t="shared" si="17"/>
        <v>32.736572890025577</v>
      </c>
      <c r="O81" s="55">
        <f t="shared" si="18"/>
        <v>27.62148337595908</v>
      </c>
      <c r="P81" s="55">
        <f t="shared" si="19"/>
        <v>0</v>
      </c>
      <c r="Q81" s="55">
        <f t="shared" si="20"/>
        <v>0</v>
      </c>
      <c r="R81" s="55">
        <f t="shared" si="21"/>
        <v>256</v>
      </c>
      <c r="S81" s="55">
        <f t="shared" si="22"/>
        <v>216</v>
      </c>
      <c r="T81" s="55">
        <f t="shared" si="23"/>
        <v>0</v>
      </c>
      <c r="U81" s="36">
        <f>_xlfn.IFNA(VLOOKUP($C81,QuyDoi_DonVi!$C:$S,6,FALSE),0)</f>
        <v>0</v>
      </c>
      <c r="V81" s="57">
        <f t="shared" si="24"/>
        <v>0</v>
      </c>
      <c r="W81" s="40">
        <f t="shared" si="25"/>
        <v>0</v>
      </c>
    </row>
    <row r="82" spans="2:23" ht="15.6">
      <c r="B82" s="10" t="s">
        <v>219</v>
      </c>
      <c r="C82" s="9" t="s">
        <v>251</v>
      </c>
      <c r="D82" s="11" t="s">
        <v>252</v>
      </c>
      <c r="E82" s="43">
        <f>_xlfn.IFNA(VLOOKUP($C82,SOP_Banh!$C:$X,17,FALSE),"")</f>
        <v>3768</v>
      </c>
      <c r="F82" s="54">
        <f t="shared" si="13"/>
        <v>3228.363636363636</v>
      </c>
      <c r="G82" s="54">
        <f t="shared" si="14"/>
        <v>85.678440455510511</v>
      </c>
      <c r="H82" s="54">
        <f t="shared" si="15"/>
        <v>-14.321559544489489</v>
      </c>
      <c r="I82" s="53">
        <f>_xlfn.IFNA(VLOOKUP($C82,QuyDoi_DonVi!$C:$S,6,FALSE)*$I$2,0)</f>
        <v>1636.3636363636363</v>
      </c>
      <c r="J82" s="44">
        <f>_xlfn.IFNA(VLOOKUP($C82,QuyDoi_DonVi!$C:$S,8,FALSE)*$J$2,0)</f>
        <v>416</v>
      </c>
      <c r="K82" s="36">
        <f>_xlfn.IFNA(VLOOKUP($C82,QuyDoi_DonVi!$C:$S,9,FALSE),0)</f>
        <v>756</v>
      </c>
      <c r="L82" s="36">
        <f>_xlfn.IFNA(VLOOKUP($C82,QuyDoi_DonVi!$C:$S,11,FALSE)*$L$2,0)</f>
        <v>420</v>
      </c>
      <c r="M82" s="55">
        <f t="shared" si="16"/>
        <v>43.42790966994788</v>
      </c>
      <c r="N82" s="55">
        <f t="shared" si="17"/>
        <v>11.040339702760084</v>
      </c>
      <c r="O82" s="55">
        <f t="shared" si="18"/>
        <v>20.063694267515924</v>
      </c>
      <c r="P82" s="55">
        <f t="shared" si="19"/>
        <v>11.146496815286625</v>
      </c>
      <c r="Q82" s="55">
        <f t="shared" si="20"/>
        <v>1636.3636363636363</v>
      </c>
      <c r="R82" s="55">
        <f t="shared" si="21"/>
        <v>416</v>
      </c>
      <c r="S82" s="55">
        <f t="shared" si="22"/>
        <v>756</v>
      </c>
      <c r="T82" s="55">
        <f t="shared" si="23"/>
        <v>420</v>
      </c>
      <c r="U82" s="36">
        <f>_xlfn.IFNA(VLOOKUP($C82,QuyDoi_DonVi!$C:$S,6,FALSE),0)</f>
        <v>25</v>
      </c>
      <c r="V82" s="57">
        <f t="shared" si="24"/>
        <v>4.5454545454545459</v>
      </c>
      <c r="W82" s="40">
        <f t="shared" si="25"/>
        <v>25</v>
      </c>
    </row>
    <row r="83" spans="2:23" ht="15.6">
      <c r="B83" s="10" t="s">
        <v>219</v>
      </c>
      <c r="C83" s="9" t="s">
        <v>253</v>
      </c>
      <c r="D83" s="11" t="s">
        <v>254</v>
      </c>
      <c r="E83" s="43">
        <f>_xlfn.IFNA(VLOOKUP($C83,SOP_Banh!$C:$X,17,FALSE),"")</f>
        <v>2220</v>
      </c>
      <c r="F83" s="54">
        <f t="shared" si="13"/>
        <v>3286.363636363636</v>
      </c>
      <c r="G83" s="54">
        <f t="shared" si="14"/>
        <v>148.03439803439801</v>
      </c>
      <c r="H83" s="54">
        <f t="shared" si="15"/>
        <v>48.034398034398009</v>
      </c>
      <c r="I83" s="53">
        <f>_xlfn.IFNA(VLOOKUP($C83,QuyDoi_DonVi!$C:$S,6,FALSE)*$I$2,0)</f>
        <v>1636.3636363636363</v>
      </c>
      <c r="J83" s="44">
        <f>_xlfn.IFNA(VLOOKUP($C83,QuyDoi_DonVi!$C:$S,8,FALSE)*$J$2,0)</f>
        <v>576</v>
      </c>
      <c r="K83" s="36">
        <f>_xlfn.IFNA(VLOOKUP($C83,QuyDoi_DonVi!$C:$S,9,FALSE),0)</f>
        <v>864</v>
      </c>
      <c r="L83" s="36">
        <f>_xlfn.IFNA(VLOOKUP($C83,QuyDoi_DonVi!$C:$S,11,FALSE)*$L$2,0)</f>
        <v>210</v>
      </c>
      <c r="M83" s="55">
        <f t="shared" si="16"/>
        <v>73.710073710073701</v>
      </c>
      <c r="N83" s="55">
        <f t="shared" si="17"/>
        <v>25.945945945945947</v>
      </c>
      <c r="O83" s="55">
        <f t="shared" si="18"/>
        <v>38.918918918918919</v>
      </c>
      <c r="P83" s="55">
        <f t="shared" si="19"/>
        <v>9.4594594594594597</v>
      </c>
      <c r="Q83" s="55">
        <f t="shared" si="20"/>
        <v>1636.3636363636363</v>
      </c>
      <c r="R83" s="55">
        <f t="shared" si="21"/>
        <v>576</v>
      </c>
      <c r="S83" s="55">
        <f t="shared" si="22"/>
        <v>864</v>
      </c>
      <c r="T83" s="55">
        <f t="shared" si="23"/>
        <v>210</v>
      </c>
      <c r="U83" s="36">
        <f>_xlfn.IFNA(VLOOKUP($C83,QuyDoi_DonVi!$C:$S,6,FALSE),0)</f>
        <v>25</v>
      </c>
      <c r="V83" s="57">
        <f t="shared" si="24"/>
        <v>4.5454545454545459</v>
      </c>
      <c r="W83" s="40">
        <f t="shared" si="25"/>
        <v>25</v>
      </c>
    </row>
    <row r="84" spans="2:23" ht="15.6">
      <c r="B84" s="10" t="s">
        <v>219</v>
      </c>
      <c r="C84" s="9" t="s">
        <v>255</v>
      </c>
      <c r="D84" s="11" t="s">
        <v>256</v>
      </c>
      <c r="E84" s="43">
        <f>_xlfn.IFNA(VLOOKUP($C84,SOP_Banh!$C:$X,17,FALSE),"")</f>
        <v>1792</v>
      </c>
      <c r="F84" s="54">
        <f t="shared" si="13"/>
        <v>652</v>
      </c>
      <c r="G84" s="54">
        <f t="shared" si="14"/>
        <v>36.383928571428569</v>
      </c>
      <c r="H84" s="54">
        <f t="shared" si="15"/>
        <v>-63.616071428571431</v>
      </c>
      <c r="I84" s="53">
        <f>_xlfn.IFNA(VLOOKUP($C84,QuyDoi_DonVi!$C:$S,6,FALSE)*$I$2,0)</f>
        <v>0</v>
      </c>
      <c r="J84" s="44">
        <f>_xlfn.IFNA(VLOOKUP($C84,QuyDoi_DonVi!$C:$S,8,FALSE)*$J$2,0)</f>
        <v>80</v>
      </c>
      <c r="K84" s="36">
        <f>_xlfn.IFNA(VLOOKUP($C84,QuyDoi_DonVi!$C:$S,9,FALSE),0)</f>
        <v>432</v>
      </c>
      <c r="L84" s="36">
        <f>_xlfn.IFNA(VLOOKUP($C84,QuyDoi_DonVi!$C:$S,11,FALSE)*$L$2,0)</f>
        <v>140</v>
      </c>
      <c r="M84" s="55">
        <f t="shared" si="16"/>
        <v>0</v>
      </c>
      <c r="N84" s="55">
        <f t="shared" si="17"/>
        <v>4.4642857142857144</v>
      </c>
      <c r="O84" s="55">
        <f t="shared" si="18"/>
        <v>24.107142857142858</v>
      </c>
      <c r="P84" s="55">
        <f t="shared" si="19"/>
        <v>7.8125</v>
      </c>
      <c r="Q84" s="55">
        <f t="shared" si="20"/>
        <v>0</v>
      </c>
      <c r="R84" s="55">
        <f t="shared" si="21"/>
        <v>80</v>
      </c>
      <c r="S84" s="55">
        <f t="shared" si="22"/>
        <v>432</v>
      </c>
      <c r="T84" s="55">
        <f t="shared" si="23"/>
        <v>140</v>
      </c>
      <c r="U84" s="36">
        <f>_xlfn.IFNA(VLOOKUP($C84,QuyDoi_DonVi!$C:$S,6,FALSE),0)</f>
        <v>0</v>
      </c>
      <c r="V84" s="57">
        <f t="shared" si="24"/>
        <v>0</v>
      </c>
      <c r="W84" s="40">
        <f t="shared" si="25"/>
        <v>0</v>
      </c>
    </row>
    <row r="85" spans="2:23" ht="15.6">
      <c r="B85" s="10" t="s">
        <v>219</v>
      </c>
      <c r="C85" s="9" t="s">
        <v>257</v>
      </c>
      <c r="D85" s="11" t="s">
        <v>258</v>
      </c>
      <c r="E85" s="43">
        <f>_xlfn.IFNA(VLOOKUP($C85,SOP_Banh!$C:$X,17,FALSE),"")</f>
        <v>958</v>
      </c>
      <c r="F85" s="54">
        <f t="shared" si="13"/>
        <v>796</v>
      </c>
      <c r="G85" s="54">
        <f t="shared" si="14"/>
        <v>83.089770354906051</v>
      </c>
      <c r="H85" s="54">
        <f t="shared" si="15"/>
        <v>-16.910229645093949</v>
      </c>
      <c r="I85" s="53">
        <f>_xlfn.IFNA(VLOOKUP($C85,QuyDoi_DonVi!$C:$S,6,FALSE)*$I$2,0)</f>
        <v>0</v>
      </c>
      <c r="J85" s="44">
        <f>_xlfn.IFNA(VLOOKUP($C85,QuyDoi_DonVi!$C:$S,8,FALSE)*$J$2,0)</f>
        <v>256</v>
      </c>
      <c r="K85" s="36">
        <f>_xlfn.IFNA(VLOOKUP($C85,QuyDoi_DonVi!$C:$S,9,FALSE),0)</f>
        <v>540</v>
      </c>
      <c r="L85" s="36">
        <f>_xlfn.IFNA(VLOOKUP($C85,QuyDoi_DonVi!$C:$S,11,FALSE)*$L$2,0)</f>
        <v>0</v>
      </c>
      <c r="M85" s="55">
        <f t="shared" si="16"/>
        <v>0</v>
      </c>
      <c r="N85" s="55">
        <f t="shared" si="17"/>
        <v>26.722338204592901</v>
      </c>
      <c r="O85" s="55">
        <f t="shared" si="18"/>
        <v>56.367432150313149</v>
      </c>
      <c r="P85" s="55">
        <f t="shared" si="19"/>
        <v>0</v>
      </c>
      <c r="Q85" s="55">
        <f t="shared" si="20"/>
        <v>0</v>
      </c>
      <c r="R85" s="55">
        <f t="shared" si="21"/>
        <v>256</v>
      </c>
      <c r="S85" s="55">
        <f t="shared" si="22"/>
        <v>540</v>
      </c>
      <c r="T85" s="55">
        <f t="shared" si="23"/>
        <v>0</v>
      </c>
      <c r="U85" s="36">
        <f>_xlfn.IFNA(VLOOKUP($C85,QuyDoi_DonVi!$C:$S,6,FALSE),0)</f>
        <v>0</v>
      </c>
      <c r="V85" s="57">
        <f t="shared" si="24"/>
        <v>0</v>
      </c>
      <c r="W85" s="40">
        <f t="shared" si="25"/>
        <v>0</v>
      </c>
    </row>
    <row r="86" spans="2:23" ht="15.6">
      <c r="B86" s="10" t="s">
        <v>219</v>
      </c>
      <c r="C86" s="9" t="s">
        <v>259</v>
      </c>
      <c r="D86" s="11" t="s">
        <v>260</v>
      </c>
      <c r="E86" s="43">
        <f>_xlfn.IFNA(VLOOKUP($C86,SOP_Banh!$C:$X,17,FALSE),"")</f>
        <v>1806</v>
      </c>
      <c r="F86" s="54">
        <f t="shared" si="13"/>
        <v>2652.363636363636</v>
      </c>
      <c r="G86" s="54">
        <f t="shared" si="14"/>
        <v>146.8639887244538</v>
      </c>
      <c r="H86" s="54">
        <f t="shared" si="15"/>
        <v>46.863988724453804</v>
      </c>
      <c r="I86" s="53">
        <f>_xlfn.IFNA(VLOOKUP($C86,QuyDoi_DonVi!$C:$S,6,FALSE)*$I$2,0)</f>
        <v>1636.3636363636363</v>
      </c>
      <c r="J86" s="44">
        <f>_xlfn.IFNA(VLOOKUP($C86,QuyDoi_DonVi!$C:$S,8,FALSE)*$J$2,0)</f>
        <v>368</v>
      </c>
      <c r="K86" s="36">
        <f>_xlfn.IFNA(VLOOKUP($C86,QuyDoi_DonVi!$C:$S,9,FALSE),0)</f>
        <v>648</v>
      </c>
      <c r="L86" s="36">
        <f>_xlfn.IFNA(VLOOKUP($C86,QuyDoi_DonVi!$C:$S,11,FALSE)*$L$2,0)</f>
        <v>0</v>
      </c>
      <c r="M86" s="55">
        <f t="shared" si="16"/>
        <v>90.607067351253392</v>
      </c>
      <c r="N86" s="55">
        <f t="shared" si="17"/>
        <v>20.376522702104097</v>
      </c>
      <c r="O86" s="55">
        <f t="shared" si="18"/>
        <v>35.880398671096344</v>
      </c>
      <c r="P86" s="55">
        <f t="shared" si="19"/>
        <v>0</v>
      </c>
      <c r="Q86" s="55">
        <f t="shared" si="20"/>
        <v>1636.3636363636363</v>
      </c>
      <c r="R86" s="55">
        <f t="shared" si="21"/>
        <v>368</v>
      </c>
      <c r="S86" s="55">
        <f t="shared" si="22"/>
        <v>648</v>
      </c>
      <c r="T86" s="55">
        <f t="shared" si="23"/>
        <v>0</v>
      </c>
      <c r="U86" s="36">
        <f>_xlfn.IFNA(VLOOKUP($C86,QuyDoi_DonVi!$C:$S,6,FALSE),0)</f>
        <v>25</v>
      </c>
      <c r="V86" s="57">
        <f t="shared" si="24"/>
        <v>4.5454545454545459</v>
      </c>
      <c r="W86" s="40">
        <f t="shared" si="25"/>
        <v>25</v>
      </c>
    </row>
    <row r="87" spans="2:23" ht="15.6">
      <c r="B87" s="14" t="s">
        <v>219</v>
      </c>
      <c r="C87" s="13" t="s">
        <v>261</v>
      </c>
      <c r="D87" s="15" t="s">
        <v>262</v>
      </c>
      <c r="E87" s="43">
        <f>_xlfn.IFNA(VLOOKUP($C87,SOP_Banh!$C:$X,17,FALSE),"")</f>
        <v>632</v>
      </c>
      <c r="F87" s="54">
        <f t="shared" si="13"/>
        <v>2152.363636363636</v>
      </c>
      <c r="G87" s="54">
        <f t="shared" si="14"/>
        <v>340.56386651323351</v>
      </c>
      <c r="H87" s="54">
        <f t="shared" si="15"/>
        <v>240.56386651323351</v>
      </c>
      <c r="I87" s="53">
        <f>_xlfn.IFNA(VLOOKUP($C87,QuyDoi_DonVi!$C:$S,6,FALSE)*$I$2,0)</f>
        <v>1636.3636363636363</v>
      </c>
      <c r="J87" s="44">
        <f>_xlfn.IFNA(VLOOKUP($C87,QuyDoi_DonVi!$C:$S,8,FALSE)*$J$2,0)</f>
        <v>192</v>
      </c>
      <c r="K87" s="36">
        <f>_xlfn.IFNA(VLOOKUP($C87,QuyDoi_DonVi!$C:$S,9,FALSE),0)</f>
        <v>324</v>
      </c>
      <c r="L87" s="36">
        <f>_xlfn.IFNA(VLOOKUP($C87,QuyDoi_DonVi!$C:$S,11,FALSE)*$L$2,0)</f>
        <v>0</v>
      </c>
      <c r="M87" s="55">
        <f t="shared" si="16"/>
        <v>258.91829689298044</v>
      </c>
      <c r="N87" s="55">
        <f t="shared" si="17"/>
        <v>30.379746835443036</v>
      </c>
      <c r="O87" s="55">
        <f t="shared" si="18"/>
        <v>51.265822784810126</v>
      </c>
      <c r="P87" s="55">
        <f t="shared" si="19"/>
        <v>0</v>
      </c>
      <c r="Q87" s="55">
        <f t="shared" si="20"/>
        <v>1636.3636363636365</v>
      </c>
      <c r="R87" s="55">
        <f t="shared" si="21"/>
        <v>192</v>
      </c>
      <c r="S87" s="55">
        <f t="shared" si="22"/>
        <v>324</v>
      </c>
      <c r="T87" s="55">
        <f t="shared" si="23"/>
        <v>0</v>
      </c>
      <c r="U87" s="36">
        <f>_xlfn.IFNA(VLOOKUP($C87,QuyDoi_DonVi!$C:$S,6,FALSE),0)</f>
        <v>25</v>
      </c>
      <c r="V87" s="57">
        <f t="shared" si="24"/>
        <v>4.5454545454545459</v>
      </c>
      <c r="W87" s="40">
        <f t="shared" si="25"/>
        <v>25</v>
      </c>
    </row>
    <row r="88" spans="2:23" ht="15.6">
      <c r="B88" s="10" t="s">
        <v>219</v>
      </c>
      <c r="C88" s="9" t="s">
        <v>263</v>
      </c>
      <c r="D88" s="11" t="s">
        <v>264</v>
      </c>
      <c r="E88" s="43">
        <f>_xlfn.IFNA(VLOOKUP($C88,SOP_Banh!$C:$X,17,FALSE),"")</f>
        <v>1394</v>
      </c>
      <c r="F88" s="54">
        <f t="shared" si="13"/>
        <v>350</v>
      </c>
      <c r="G88" s="54">
        <f t="shared" si="14"/>
        <v>25.107604017216644</v>
      </c>
      <c r="H88" s="54">
        <f t="shared" si="15"/>
        <v>-74.892395982783356</v>
      </c>
      <c r="I88" s="53">
        <f>_xlfn.IFNA(VLOOKUP($C88,QuyDoi_DonVi!$C:$S,6,FALSE)*$I$2,0)</f>
        <v>0</v>
      </c>
      <c r="J88" s="44">
        <f>_xlfn.IFNA(VLOOKUP($C88,QuyDoi_DonVi!$C:$S,8,FALSE)*$J$2,0)</f>
        <v>32</v>
      </c>
      <c r="K88" s="36">
        <f>_xlfn.IFNA(VLOOKUP($C88,QuyDoi_DonVi!$C:$S,9,FALSE),0)</f>
        <v>108</v>
      </c>
      <c r="L88" s="36">
        <f>_xlfn.IFNA(VLOOKUP($C88,QuyDoi_DonVi!$C:$S,11,FALSE)*$L$2,0)</f>
        <v>210</v>
      </c>
      <c r="M88" s="55">
        <f t="shared" si="16"/>
        <v>0</v>
      </c>
      <c r="N88" s="55">
        <f t="shared" si="17"/>
        <v>2.2955523672883786</v>
      </c>
      <c r="O88" s="55">
        <f t="shared" si="18"/>
        <v>7.747489239598278</v>
      </c>
      <c r="P88" s="55">
        <f t="shared" si="19"/>
        <v>15.064562410329986</v>
      </c>
      <c r="Q88" s="55">
        <f t="shared" si="20"/>
        <v>0</v>
      </c>
      <c r="R88" s="55">
        <f t="shared" si="21"/>
        <v>32</v>
      </c>
      <c r="S88" s="55">
        <f t="shared" si="22"/>
        <v>108</v>
      </c>
      <c r="T88" s="55">
        <f t="shared" si="23"/>
        <v>210</v>
      </c>
      <c r="U88" s="36">
        <f>_xlfn.IFNA(VLOOKUP($C88,QuyDoi_DonVi!$C:$S,6,FALSE),0)</f>
        <v>0</v>
      </c>
      <c r="V88" s="57">
        <f t="shared" si="24"/>
        <v>0</v>
      </c>
      <c r="W88" s="40">
        <f t="shared" si="25"/>
        <v>0</v>
      </c>
    </row>
    <row r="89" spans="2:23" ht="15.6">
      <c r="B89" s="10" t="s">
        <v>219</v>
      </c>
      <c r="C89" s="9" t="s">
        <v>265</v>
      </c>
      <c r="D89" s="11" t="s">
        <v>266</v>
      </c>
      <c r="E89" s="43">
        <f>_xlfn.IFNA(VLOOKUP($C89,SOP_Banh!$C:$X,17,FALSE),"")</f>
        <v>1144</v>
      </c>
      <c r="F89" s="54">
        <f t="shared" si="13"/>
        <v>204</v>
      </c>
      <c r="G89" s="54">
        <f t="shared" si="14"/>
        <v>17.832167832167833</v>
      </c>
      <c r="H89" s="54">
        <f t="shared" si="15"/>
        <v>-82.167832167832159</v>
      </c>
      <c r="I89" s="53">
        <f>_xlfn.IFNA(VLOOKUP($C89,QuyDoi_DonVi!$C:$S,6,FALSE)*$I$2,0)</f>
        <v>0</v>
      </c>
      <c r="J89" s="44">
        <f>_xlfn.IFNA(VLOOKUP($C89,QuyDoi_DonVi!$C:$S,8,FALSE)*$J$2,0)</f>
        <v>96</v>
      </c>
      <c r="K89" s="36">
        <f>_xlfn.IFNA(VLOOKUP($C89,QuyDoi_DonVi!$C:$S,9,FALSE),0)</f>
        <v>108</v>
      </c>
      <c r="L89" s="36">
        <f>_xlfn.IFNA(VLOOKUP($C89,QuyDoi_DonVi!$C:$S,11,FALSE)*$L$2,0)</f>
        <v>0</v>
      </c>
      <c r="M89" s="55">
        <f t="shared" si="16"/>
        <v>0</v>
      </c>
      <c r="N89" s="55">
        <f t="shared" si="17"/>
        <v>8.3916083916083917</v>
      </c>
      <c r="O89" s="55">
        <f t="shared" si="18"/>
        <v>9.44055944055944</v>
      </c>
      <c r="P89" s="55">
        <f t="shared" si="19"/>
        <v>0</v>
      </c>
      <c r="Q89" s="55">
        <f t="shared" si="20"/>
        <v>0</v>
      </c>
      <c r="R89" s="55">
        <f t="shared" si="21"/>
        <v>96</v>
      </c>
      <c r="S89" s="55">
        <f t="shared" si="22"/>
        <v>108</v>
      </c>
      <c r="T89" s="55">
        <f t="shared" si="23"/>
        <v>0</v>
      </c>
      <c r="U89" s="36">
        <f>_xlfn.IFNA(VLOOKUP($C89,QuyDoi_DonVi!$C:$S,6,FALSE),0)</f>
        <v>0</v>
      </c>
      <c r="V89" s="57">
        <f t="shared" si="24"/>
        <v>0</v>
      </c>
      <c r="W89" s="40">
        <f t="shared" si="25"/>
        <v>0</v>
      </c>
    </row>
    <row r="90" spans="2:23" ht="15.6">
      <c r="B90" s="10" t="s">
        <v>219</v>
      </c>
      <c r="C90" s="9" t="s">
        <v>267</v>
      </c>
      <c r="D90" s="11" t="s">
        <v>268</v>
      </c>
      <c r="E90" s="43">
        <f>_xlfn.IFNA(VLOOKUP($C90,SOP_Banh!$C:$X,17,FALSE),"")</f>
        <v>1002</v>
      </c>
      <c r="F90" s="54">
        <f t="shared" si="13"/>
        <v>2068.363636363636</v>
      </c>
      <c r="G90" s="54">
        <f t="shared" si="14"/>
        <v>206.42351660315728</v>
      </c>
      <c r="H90" s="54">
        <f t="shared" si="15"/>
        <v>106.42351660315728</v>
      </c>
      <c r="I90" s="53">
        <f>_xlfn.IFNA(VLOOKUP($C90,QuyDoi_DonVi!$C:$S,6,FALSE)*$I$2,0)</f>
        <v>1636.3636363636363</v>
      </c>
      <c r="J90" s="44">
        <f>_xlfn.IFNA(VLOOKUP($C90,QuyDoi_DonVi!$C:$S,8,FALSE)*$J$2,0)</f>
        <v>0</v>
      </c>
      <c r="K90" s="36">
        <f>_xlfn.IFNA(VLOOKUP($C90,QuyDoi_DonVi!$C:$S,9,FALSE),0)</f>
        <v>432</v>
      </c>
      <c r="L90" s="36">
        <f>_xlfn.IFNA(VLOOKUP($C90,QuyDoi_DonVi!$C:$S,11,FALSE)*$L$2,0)</f>
        <v>0</v>
      </c>
      <c r="M90" s="55">
        <f t="shared" si="16"/>
        <v>163.30974414806749</v>
      </c>
      <c r="N90" s="55">
        <f t="shared" si="17"/>
        <v>0</v>
      </c>
      <c r="O90" s="55">
        <f t="shared" si="18"/>
        <v>43.113772455089823</v>
      </c>
      <c r="P90" s="55">
        <f t="shared" si="19"/>
        <v>0</v>
      </c>
      <c r="Q90" s="55">
        <f t="shared" si="20"/>
        <v>1636.3636363636363</v>
      </c>
      <c r="R90" s="55">
        <f t="shared" si="21"/>
        <v>0</v>
      </c>
      <c r="S90" s="55">
        <f t="shared" si="22"/>
        <v>432</v>
      </c>
      <c r="T90" s="55">
        <f t="shared" si="23"/>
        <v>0</v>
      </c>
      <c r="U90" s="36">
        <f>_xlfn.IFNA(VLOOKUP($C90,QuyDoi_DonVi!$C:$S,6,FALSE),0)</f>
        <v>25</v>
      </c>
      <c r="V90" s="57">
        <f t="shared" si="24"/>
        <v>4.5454545454545459</v>
      </c>
      <c r="W90" s="40">
        <f t="shared" si="25"/>
        <v>25</v>
      </c>
    </row>
    <row r="91" spans="2:23" ht="15.6">
      <c r="B91" s="10" t="s">
        <v>219</v>
      </c>
      <c r="C91" s="9" t="s">
        <v>269</v>
      </c>
      <c r="D91" s="11" t="s">
        <v>270</v>
      </c>
      <c r="E91" s="43">
        <f>_xlfn.IFNA(VLOOKUP($C91,SOP_Banh!$C:$X,17,FALSE),"")</f>
        <v>808</v>
      </c>
      <c r="F91" s="54">
        <f t="shared" si="13"/>
        <v>2148.363636363636</v>
      </c>
      <c r="G91" s="54">
        <f t="shared" si="14"/>
        <v>265.88658865886583</v>
      </c>
      <c r="H91" s="54">
        <f t="shared" si="15"/>
        <v>165.88658865886583</v>
      </c>
      <c r="I91" s="53">
        <f>_xlfn.IFNA(VLOOKUP($C91,QuyDoi_DonVi!$C:$S,6,FALSE)*$I$2,0)</f>
        <v>1636.3636363636363</v>
      </c>
      <c r="J91" s="44">
        <f>_xlfn.IFNA(VLOOKUP($C91,QuyDoi_DonVi!$C:$S,8,FALSE)*$J$2,0)</f>
        <v>48</v>
      </c>
      <c r="K91" s="36">
        <f>_xlfn.IFNA(VLOOKUP($C91,QuyDoi_DonVi!$C:$S,9,FALSE),0)</f>
        <v>324</v>
      </c>
      <c r="L91" s="36">
        <f>_xlfn.IFNA(VLOOKUP($C91,QuyDoi_DonVi!$C:$S,11,FALSE)*$L$2,0)</f>
        <v>140</v>
      </c>
      <c r="M91" s="55">
        <f t="shared" si="16"/>
        <v>202.5202520252025</v>
      </c>
      <c r="N91" s="55">
        <f t="shared" si="17"/>
        <v>5.9405940594059405</v>
      </c>
      <c r="O91" s="55">
        <f t="shared" si="18"/>
        <v>40.099009900990097</v>
      </c>
      <c r="P91" s="55">
        <f t="shared" si="19"/>
        <v>17.326732673267326</v>
      </c>
      <c r="Q91" s="55">
        <f t="shared" si="20"/>
        <v>1636.3636363636363</v>
      </c>
      <c r="R91" s="55">
        <f t="shared" si="21"/>
        <v>48</v>
      </c>
      <c r="S91" s="55">
        <f t="shared" si="22"/>
        <v>324</v>
      </c>
      <c r="T91" s="55">
        <f t="shared" si="23"/>
        <v>140</v>
      </c>
      <c r="U91" s="36">
        <f>_xlfn.IFNA(VLOOKUP($C91,QuyDoi_DonVi!$C:$S,6,FALSE),0)</f>
        <v>25</v>
      </c>
      <c r="V91" s="57">
        <f t="shared" si="24"/>
        <v>4.5454545454545459</v>
      </c>
      <c r="W91" s="40">
        <f t="shared" si="25"/>
        <v>25</v>
      </c>
    </row>
    <row r="92" spans="2:23" ht="15.6">
      <c r="B92" s="10" t="s">
        <v>219</v>
      </c>
      <c r="C92" s="9" t="s">
        <v>271</v>
      </c>
      <c r="D92" s="11" t="s">
        <v>272</v>
      </c>
      <c r="E92" s="43">
        <f>_xlfn.IFNA(VLOOKUP($C92,SOP_Banh!$C:$X,17,FALSE),"")</f>
        <v>1268</v>
      </c>
      <c r="F92" s="54">
        <f t="shared" si="13"/>
        <v>2464.363636363636</v>
      </c>
      <c r="G92" s="54">
        <f t="shared" si="14"/>
        <v>194.35044450817318</v>
      </c>
      <c r="H92" s="54">
        <f t="shared" si="15"/>
        <v>94.350444508173183</v>
      </c>
      <c r="I92" s="53">
        <f>_xlfn.IFNA(VLOOKUP($C92,QuyDoi_DonVi!$C:$S,6,FALSE)*$I$2,0)</f>
        <v>1636.3636363636363</v>
      </c>
      <c r="J92" s="44">
        <f>_xlfn.IFNA(VLOOKUP($C92,QuyDoi_DonVi!$C:$S,8,FALSE)*$J$2,0)</f>
        <v>288</v>
      </c>
      <c r="K92" s="36">
        <f>_xlfn.IFNA(VLOOKUP($C92,QuyDoi_DonVi!$C:$S,9,FALSE),0)</f>
        <v>540</v>
      </c>
      <c r="L92" s="36">
        <f>_xlfn.IFNA(VLOOKUP($C92,QuyDoi_DonVi!$C:$S,11,FALSE)*$L$2,0)</f>
        <v>0</v>
      </c>
      <c r="M92" s="55">
        <f t="shared" si="16"/>
        <v>129.05075996558645</v>
      </c>
      <c r="N92" s="55">
        <f t="shared" si="17"/>
        <v>22.712933753943219</v>
      </c>
      <c r="O92" s="55">
        <f t="shared" si="18"/>
        <v>42.586750788643535</v>
      </c>
      <c r="P92" s="55">
        <f t="shared" si="19"/>
        <v>0</v>
      </c>
      <c r="Q92" s="55">
        <f t="shared" si="20"/>
        <v>1636.3636363636363</v>
      </c>
      <c r="R92" s="55">
        <f t="shared" si="21"/>
        <v>288</v>
      </c>
      <c r="S92" s="55">
        <f t="shared" si="22"/>
        <v>540</v>
      </c>
      <c r="T92" s="55">
        <f t="shared" si="23"/>
        <v>0</v>
      </c>
      <c r="U92" s="36">
        <f>_xlfn.IFNA(VLOOKUP($C92,QuyDoi_DonVi!$C:$S,6,FALSE),0)</f>
        <v>25</v>
      </c>
      <c r="V92" s="57">
        <f t="shared" si="24"/>
        <v>4.5454545454545459</v>
      </c>
      <c r="W92" s="40">
        <f t="shared" si="25"/>
        <v>25</v>
      </c>
    </row>
    <row r="93" spans="2:23" ht="15.6">
      <c r="B93" s="10" t="s">
        <v>219</v>
      </c>
      <c r="C93" s="9" t="s">
        <v>273</v>
      </c>
      <c r="D93" s="11" t="s">
        <v>274</v>
      </c>
      <c r="E93" s="43">
        <f>_xlfn.IFNA(VLOOKUP($C93,SOP_Banh!$C:$X,17,FALSE),"")</f>
        <v>2264</v>
      </c>
      <c r="F93" s="54">
        <f t="shared" si="13"/>
        <v>2548.363636363636</v>
      </c>
      <c r="G93" s="54">
        <f t="shared" si="14"/>
        <v>112.56023128814647</v>
      </c>
      <c r="H93" s="54">
        <f t="shared" si="15"/>
        <v>12.560231288146468</v>
      </c>
      <c r="I93" s="53">
        <f>_xlfn.IFNA(VLOOKUP($C93,QuyDoi_DonVi!$C:$S,6,FALSE)*$I$2,0)</f>
        <v>1636.3636363636363</v>
      </c>
      <c r="J93" s="44">
        <f>_xlfn.IFNA(VLOOKUP($C93,QuyDoi_DonVi!$C:$S,8,FALSE)*$J$2,0)</f>
        <v>480</v>
      </c>
      <c r="K93" s="36">
        <f>_xlfn.IFNA(VLOOKUP($C93,QuyDoi_DonVi!$C:$S,9,FALSE),0)</f>
        <v>432</v>
      </c>
      <c r="L93" s="36">
        <f>_xlfn.IFNA(VLOOKUP($C93,QuyDoi_DonVi!$C:$S,11,FALSE)*$L$2,0)</f>
        <v>0</v>
      </c>
      <c r="M93" s="55">
        <f t="shared" si="16"/>
        <v>72.277545775778989</v>
      </c>
      <c r="N93" s="55">
        <f t="shared" si="17"/>
        <v>21.201413427561839</v>
      </c>
      <c r="O93" s="55">
        <f t="shared" si="18"/>
        <v>19.081272084805654</v>
      </c>
      <c r="P93" s="55">
        <f t="shared" si="19"/>
        <v>0</v>
      </c>
      <c r="Q93" s="55">
        <f t="shared" si="20"/>
        <v>1636.3636363636363</v>
      </c>
      <c r="R93" s="55">
        <f t="shared" si="21"/>
        <v>480</v>
      </c>
      <c r="S93" s="55">
        <f t="shared" si="22"/>
        <v>432</v>
      </c>
      <c r="T93" s="55">
        <f t="shared" si="23"/>
        <v>0</v>
      </c>
      <c r="U93" s="36">
        <f>_xlfn.IFNA(VLOOKUP($C93,QuyDoi_DonVi!$C:$S,6,FALSE),0)</f>
        <v>25</v>
      </c>
      <c r="V93" s="57">
        <f t="shared" si="24"/>
        <v>4.5454545454545459</v>
      </c>
      <c r="W93" s="40">
        <f t="shared" si="25"/>
        <v>25</v>
      </c>
    </row>
    <row r="94" spans="2:23" ht="15.6">
      <c r="B94" s="10" t="s">
        <v>219</v>
      </c>
      <c r="C94" s="9" t="s">
        <v>275</v>
      </c>
      <c r="D94" s="11" t="s">
        <v>276</v>
      </c>
      <c r="E94" s="43">
        <f>_xlfn.IFNA(VLOOKUP($C94,SOP_Banh!$C:$X,17,FALSE),"")</f>
        <v>1254</v>
      </c>
      <c r="F94" s="54">
        <f t="shared" si="13"/>
        <v>2688.363636363636</v>
      </c>
      <c r="G94" s="54">
        <f t="shared" si="14"/>
        <v>214.38306510076842</v>
      </c>
      <c r="H94" s="54">
        <f t="shared" si="15"/>
        <v>114.38306510076842</v>
      </c>
      <c r="I94" s="53">
        <f>_xlfn.IFNA(VLOOKUP($C94,QuyDoi_DonVi!$C:$S,6,FALSE)*$I$2,0)</f>
        <v>1636.3636363636363</v>
      </c>
      <c r="J94" s="44">
        <f>_xlfn.IFNA(VLOOKUP($C94,QuyDoi_DonVi!$C:$S,8,FALSE)*$J$2,0)</f>
        <v>512</v>
      </c>
      <c r="K94" s="36">
        <f>_xlfn.IFNA(VLOOKUP($C94,QuyDoi_DonVi!$C:$S,9,FALSE),0)</f>
        <v>540</v>
      </c>
      <c r="L94" s="36">
        <f>_xlfn.IFNA(VLOOKUP($C94,QuyDoi_DonVi!$C:$S,11,FALSE)*$L$2,0)</f>
        <v>0</v>
      </c>
      <c r="M94" s="55">
        <f t="shared" si="16"/>
        <v>130.49151805132664</v>
      </c>
      <c r="N94" s="55">
        <f t="shared" si="17"/>
        <v>40.829346092503989</v>
      </c>
      <c r="O94" s="55">
        <f t="shared" si="18"/>
        <v>43.062200956937801</v>
      </c>
      <c r="P94" s="55">
        <f t="shared" si="19"/>
        <v>0</v>
      </c>
      <c r="Q94" s="55">
        <f t="shared" si="20"/>
        <v>1636.3636363636358</v>
      </c>
      <c r="R94" s="55">
        <f t="shared" si="21"/>
        <v>512</v>
      </c>
      <c r="S94" s="55">
        <f t="shared" si="22"/>
        <v>540</v>
      </c>
      <c r="T94" s="55">
        <f t="shared" si="23"/>
        <v>0</v>
      </c>
      <c r="U94" s="36">
        <f>_xlfn.IFNA(VLOOKUP($C94,QuyDoi_DonVi!$C:$S,6,FALSE),0)</f>
        <v>25</v>
      </c>
      <c r="V94" s="57">
        <f t="shared" si="24"/>
        <v>4.5454545454545459</v>
      </c>
      <c r="W94" s="40">
        <f t="shared" si="25"/>
        <v>25</v>
      </c>
    </row>
    <row r="95" spans="2:23" ht="15.6">
      <c r="B95" s="10" t="s">
        <v>219</v>
      </c>
      <c r="C95" s="9" t="s">
        <v>277</v>
      </c>
      <c r="D95" s="11" t="s">
        <v>278</v>
      </c>
      <c r="E95" s="43">
        <f>_xlfn.IFNA(VLOOKUP($C95,SOP_Banh!$C:$X,17,FALSE),"")</f>
        <v>1092</v>
      </c>
      <c r="F95" s="54">
        <f t="shared" si="13"/>
        <v>504</v>
      </c>
      <c r="G95" s="54">
        <f t="shared" si="14"/>
        <v>46.153846153846153</v>
      </c>
      <c r="H95" s="54">
        <f t="shared" si="15"/>
        <v>-53.846153846153847</v>
      </c>
      <c r="I95" s="53">
        <f>_xlfn.IFNA(VLOOKUP($C95,QuyDoi_DonVi!$C:$S,6,FALSE)*$I$2,0)</f>
        <v>0</v>
      </c>
      <c r="J95" s="44">
        <f>_xlfn.IFNA(VLOOKUP($C95,QuyDoi_DonVi!$C:$S,8,FALSE)*$J$2,0)</f>
        <v>256</v>
      </c>
      <c r="K95" s="36">
        <f>_xlfn.IFNA(VLOOKUP($C95,QuyDoi_DonVi!$C:$S,9,FALSE),0)</f>
        <v>108</v>
      </c>
      <c r="L95" s="36">
        <f>_xlfn.IFNA(VLOOKUP($C95,QuyDoi_DonVi!$C:$S,11,FALSE)*$L$2,0)</f>
        <v>140</v>
      </c>
      <c r="M95" s="55">
        <f t="shared" si="16"/>
        <v>0</v>
      </c>
      <c r="N95" s="55">
        <f t="shared" si="17"/>
        <v>23.443223443223442</v>
      </c>
      <c r="O95" s="55">
        <f t="shared" si="18"/>
        <v>9.8901098901098905</v>
      </c>
      <c r="P95" s="55">
        <f t="shared" si="19"/>
        <v>12.820512820512821</v>
      </c>
      <c r="Q95" s="55">
        <f t="shared" si="20"/>
        <v>0</v>
      </c>
      <c r="R95" s="55">
        <f t="shared" si="21"/>
        <v>256</v>
      </c>
      <c r="S95" s="55">
        <f t="shared" si="22"/>
        <v>108</v>
      </c>
      <c r="T95" s="55">
        <f t="shared" si="23"/>
        <v>140</v>
      </c>
      <c r="U95" s="36">
        <f>_xlfn.IFNA(VLOOKUP($C95,QuyDoi_DonVi!$C:$S,6,FALSE),0)</f>
        <v>0</v>
      </c>
      <c r="V95" s="57">
        <f t="shared" si="24"/>
        <v>0</v>
      </c>
      <c r="W95" s="40">
        <f t="shared" si="25"/>
        <v>0</v>
      </c>
    </row>
    <row r="96" spans="2:23" ht="15.6">
      <c r="B96" s="10" t="s">
        <v>219</v>
      </c>
      <c r="C96" s="9" t="s">
        <v>279</v>
      </c>
      <c r="D96" s="11" t="s">
        <v>280</v>
      </c>
      <c r="E96" s="43">
        <f>_xlfn.IFNA(VLOOKUP($C96,SOP_Banh!$C:$X,17,FALSE),"")</f>
        <v>764</v>
      </c>
      <c r="F96" s="54">
        <f t="shared" si="13"/>
        <v>598</v>
      </c>
      <c r="G96" s="54">
        <f t="shared" si="14"/>
        <v>78.272251308900522</v>
      </c>
      <c r="H96" s="54">
        <f t="shared" si="15"/>
        <v>-21.727748691099478</v>
      </c>
      <c r="I96" s="53">
        <f>_xlfn.IFNA(VLOOKUP($C96,QuyDoi_DonVi!$C:$S,6,FALSE)*$I$2,0)</f>
        <v>0</v>
      </c>
      <c r="J96" s="44">
        <f>_xlfn.IFNA(VLOOKUP($C96,QuyDoi_DonVi!$C:$S,8,FALSE)*$J$2,0)</f>
        <v>64</v>
      </c>
      <c r="K96" s="36">
        <f>_xlfn.IFNA(VLOOKUP($C96,QuyDoi_DonVi!$C:$S,9,FALSE),0)</f>
        <v>324</v>
      </c>
      <c r="L96" s="36">
        <f>_xlfn.IFNA(VLOOKUP($C96,QuyDoi_DonVi!$C:$S,11,FALSE)*$L$2,0)</f>
        <v>210</v>
      </c>
      <c r="M96" s="55">
        <f t="shared" si="16"/>
        <v>0</v>
      </c>
      <c r="N96" s="55">
        <f t="shared" si="17"/>
        <v>8.3769633507853403</v>
      </c>
      <c r="O96" s="55">
        <f t="shared" si="18"/>
        <v>42.408376963350783</v>
      </c>
      <c r="P96" s="55">
        <f t="shared" si="19"/>
        <v>27.486910994764397</v>
      </c>
      <c r="Q96" s="55">
        <f t="shared" si="20"/>
        <v>0</v>
      </c>
      <c r="R96" s="55">
        <f t="shared" si="21"/>
        <v>64</v>
      </c>
      <c r="S96" s="55">
        <f t="shared" si="22"/>
        <v>323.99999999999994</v>
      </c>
      <c r="T96" s="55">
        <f t="shared" si="23"/>
        <v>210</v>
      </c>
      <c r="U96" s="36">
        <f>_xlfn.IFNA(VLOOKUP($C96,QuyDoi_DonVi!$C:$S,6,FALSE),0)</f>
        <v>0</v>
      </c>
      <c r="V96" s="57">
        <f t="shared" si="24"/>
        <v>0</v>
      </c>
      <c r="W96" s="40">
        <f t="shared" si="25"/>
        <v>0</v>
      </c>
    </row>
    <row r="97" spans="2:23" ht="15.6">
      <c r="B97" s="10" t="s">
        <v>219</v>
      </c>
      <c r="C97" s="12" t="s">
        <v>281</v>
      </c>
      <c r="D97" s="11" t="s">
        <v>282</v>
      </c>
      <c r="E97" s="43">
        <f>_xlfn.IFNA(VLOOKUP($C97,SOP_Banh!$C:$X,17,FALSE),"")</f>
        <v>762</v>
      </c>
      <c r="F97" s="54">
        <f t="shared" si="13"/>
        <v>564</v>
      </c>
      <c r="G97" s="54">
        <f t="shared" si="14"/>
        <v>74.015748031496059</v>
      </c>
      <c r="H97" s="54">
        <f t="shared" si="15"/>
        <v>-25.984251968503941</v>
      </c>
      <c r="I97" s="53">
        <f>_xlfn.IFNA(VLOOKUP($C97,QuyDoi_DonVi!$C:$S,6,FALSE)*$I$2,0)</f>
        <v>0</v>
      </c>
      <c r="J97" s="44">
        <f>_xlfn.IFNA(VLOOKUP($C97,QuyDoi_DonVi!$C:$S,8,FALSE)*$J$2,0)</f>
        <v>208</v>
      </c>
      <c r="K97" s="36">
        <f>_xlfn.IFNA(VLOOKUP($C97,QuyDoi_DonVi!$C:$S,9,FALSE),0)</f>
        <v>216</v>
      </c>
      <c r="L97" s="36">
        <f>_xlfn.IFNA(VLOOKUP($C97,QuyDoi_DonVi!$C:$S,11,FALSE)*$L$2,0)</f>
        <v>140</v>
      </c>
      <c r="M97" s="55">
        <f t="shared" si="16"/>
        <v>0</v>
      </c>
      <c r="N97" s="55">
        <f t="shared" si="17"/>
        <v>27.296587926509186</v>
      </c>
      <c r="O97" s="55">
        <f t="shared" si="18"/>
        <v>28.346456692913385</v>
      </c>
      <c r="P97" s="55">
        <f t="shared" si="19"/>
        <v>18.372703412073491</v>
      </c>
      <c r="Q97" s="55">
        <f t="shared" si="20"/>
        <v>0</v>
      </c>
      <c r="R97" s="55">
        <f t="shared" si="21"/>
        <v>208</v>
      </c>
      <c r="S97" s="55">
        <f t="shared" si="22"/>
        <v>216</v>
      </c>
      <c r="T97" s="55">
        <f t="shared" si="23"/>
        <v>140</v>
      </c>
      <c r="U97" s="36">
        <f>_xlfn.IFNA(VLOOKUP($C97,QuyDoi_DonVi!$C:$S,6,FALSE),0)</f>
        <v>0</v>
      </c>
      <c r="V97" s="57">
        <f t="shared" si="24"/>
        <v>0</v>
      </c>
      <c r="W97" s="40">
        <f t="shared" si="25"/>
        <v>0</v>
      </c>
    </row>
  </sheetData>
  <conditionalFormatting sqref="A3">
    <cfRule type="duplicateValues" dxfId="18" priority="23"/>
  </conditionalFormatting>
  <conditionalFormatting sqref="B3 C4 C6:C97">
    <cfRule type="duplicateValues" dxfId="17" priority="5"/>
  </conditionalFormatting>
  <conditionalFormatting sqref="D3:D4 D6:D97">
    <cfRule type="duplicateValues" dxfId="16" priority="4"/>
  </conditionalFormatting>
  <conditionalFormatting sqref="H1:H1048576">
    <cfRule type="colorScale" priority="3">
      <colorScale>
        <cfvo type="min"/>
        <cfvo type="num" val="27"/>
        <color rgb="FFF8696B"/>
        <color theme="0"/>
      </colorScale>
    </cfRule>
  </conditionalFormatting>
  <conditionalFormatting sqref="C5">
    <cfRule type="duplicateValues" dxfId="15" priority="2"/>
  </conditionalFormatting>
  <conditionalFormatting sqref="D5">
    <cfRule type="duplicateValues" dxfId="1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7"/>
  <sheetViews>
    <sheetView zoomScale="90" zoomScaleNormal="9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RowHeight="14.4"/>
  <cols>
    <col min="2" max="2" width="7.44140625" bestFit="1" customWidth="1"/>
    <col min="3" max="3" width="53.21875" bestFit="1" customWidth="1"/>
    <col min="4" max="4" width="11.88671875" style="2" customWidth="1"/>
    <col min="5" max="5" width="12.109375" style="2" bestFit="1" customWidth="1"/>
    <col min="6" max="6" width="13.33203125" style="2" bestFit="1" customWidth="1"/>
    <col min="7" max="7" width="13.33203125" style="2" customWidth="1"/>
    <col min="8" max="8" width="16.109375" style="2" customWidth="1"/>
    <col min="9" max="10" width="14.33203125" style="2" customWidth="1"/>
    <col min="11" max="11" width="10.44140625" style="2" bestFit="1" customWidth="1"/>
    <col min="12" max="12" width="11.109375" style="2" bestFit="1" customWidth="1"/>
    <col min="13" max="13" width="10.88671875" style="2" bestFit="1" customWidth="1"/>
    <col min="14" max="14" width="10.44140625" style="2" bestFit="1" customWidth="1"/>
    <col min="15" max="15" width="11.44140625" style="2" bestFit="1" customWidth="1"/>
    <col min="16" max="16" width="10.44140625" style="2" bestFit="1" customWidth="1"/>
    <col min="17" max="17" width="10.44140625" style="2" customWidth="1"/>
    <col min="18" max="18" width="10.44140625" style="2" bestFit="1" customWidth="1"/>
    <col min="19" max="19" width="9.6640625" style="2" customWidth="1"/>
    <col min="20" max="20" width="9.33203125" style="2" bestFit="1" customWidth="1"/>
    <col min="21" max="21" width="9.33203125" style="2" customWidth="1"/>
    <col min="22" max="22" width="13.44140625" style="2" customWidth="1"/>
    <col min="23" max="23" width="9.33203125" style="2" bestFit="1" customWidth="1"/>
  </cols>
  <sheetData>
    <row r="1" spans="1:23" s="34" customFormat="1" ht="86.4" customHeight="1">
      <c r="D1" s="73" t="s">
        <v>383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41" t="s">
        <v>385</v>
      </c>
      <c r="T1" s="74" t="s">
        <v>386</v>
      </c>
      <c r="U1" s="74"/>
      <c r="V1" s="74"/>
      <c r="W1" s="74"/>
    </row>
    <row r="2" spans="1:23" ht="57.6">
      <c r="A2" s="28" t="s">
        <v>94</v>
      </c>
      <c r="B2" s="28" t="s">
        <v>95</v>
      </c>
      <c r="C2" s="28" t="s">
        <v>9</v>
      </c>
      <c r="D2" s="21" t="s">
        <v>382</v>
      </c>
      <c r="E2" s="21" t="s">
        <v>10</v>
      </c>
      <c r="F2" s="21" t="s">
        <v>11</v>
      </c>
      <c r="G2" s="21" t="s">
        <v>73</v>
      </c>
      <c r="H2" s="21" t="s">
        <v>33</v>
      </c>
      <c r="I2" s="21" t="s">
        <v>8</v>
      </c>
      <c r="J2" s="21" t="s">
        <v>6</v>
      </c>
      <c r="K2" s="58" t="s">
        <v>16</v>
      </c>
      <c r="L2" s="58" t="s">
        <v>31</v>
      </c>
      <c r="M2" s="58" t="s">
        <v>17</v>
      </c>
      <c r="N2" s="58" t="s">
        <v>18</v>
      </c>
      <c r="O2" s="33" t="s">
        <v>13</v>
      </c>
      <c r="P2" s="33" t="s">
        <v>14</v>
      </c>
      <c r="Q2" s="33" t="s">
        <v>70</v>
      </c>
      <c r="R2" s="33" t="s">
        <v>15</v>
      </c>
      <c r="S2" s="59" t="s">
        <v>19</v>
      </c>
      <c r="T2" s="59" t="s">
        <v>20</v>
      </c>
      <c r="U2" s="59" t="s">
        <v>23</v>
      </c>
      <c r="V2" s="59" t="s">
        <v>21</v>
      </c>
      <c r="W2" s="59" t="s">
        <v>32</v>
      </c>
    </row>
    <row r="3" spans="1:23" ht="15.6">
      <c r="A3" s="10" t="s">
        <v>97</v>
      </c>
      <c r="B3" s="9" t="s">
        <v>96</v>
      </c>
      <c r="C3" s="11" t="s">
        <v>98</v>
      </c>
      <c r="D3" s="62">
        <f>IFERROR(SUM(_xlfn.IFNA(VLOOKUP($B3,Dulieutho,ChiTiet!J$2,FALSE),0),_xlfn.IFNA(VLOOKUP($B3,Dulieutho,ChiTiet!K$2,FALSE),0),_xlfn.IFNA(VLOOKUP($B3,Dulieutho,ChiTiet!AK$2,FALSE),0),_xlfn.IFNA(VLOOKUP($B3,Dulieutho,ChiTiet!AL$2,FALSE),0))*100/_xlfn.IFNA(VLOOKUP($B3,SOP_Banh!$C:$X,7,FALSE),0),0)-100</f>
        <v>1.4234875444839901</v>
      </c>
      <c r="E3" s="61">
        <f>IFERROR(_xlfn.IFNA(VLOOKUP($B3,QuyDoi_DonVi!$C:$S,12,FALSE),0)*100/_xlfn.IFNA(VLOOKUP($B3,SOP_Banh!$C:$X,8,FALSE),0),0)-100</f>
        <v>-38.837920489296636</v>
      </c>
      <c r="F3" s="61">
        <f>IFERROR(_xlfn.IFNA(VLOOKUP($B3,QuyDoi_DonVi!$C:$S,13,FALSE),0)*100/_xlfn.IFNA(VLOOKUP($B3,SOP_Banh!$C:$X,9,FALSE),0),0)-100</f>
        <v>-36.90851735015773</v>
      </c>
      <c r="G3" s="63">
        <f>IFERROR(_xlfn.IFNA(VLOOKUP($B3,Dulieutho,ChiTiet!Z$2,FALSE),0)*100/_xlfn.IFNA(VLOOKUP($B3,SOP_Banh!$C:$X,10,FALSE),0),0)-100</f>
        <v>166.66666666666669</v>
      </c>
      <c r="H3" s="61">
        <f>IFERROR(SUM(_xlfn.IFNA(VLOOKUP($B3,Dulieutho,ChiTiet!AB$2,FALSE),0),_xlfn.IFNA(VLOOKUP($B3,Dulieutho,ChiTiet!AC$2,FALSE),0))*100/_xlfn.IFNA(VLOOKUP($B3,SOP_Banh!$C:$X,20,FALSE),0)-100,0)</f>
        <v>-46.619217081850536</v>
      </c>
      <c r="I3" s="61">
        <f>IFERROR(_xlfn.IFNA(VLOOKUP($B3,Dulieutho,ChiTiet!AF$2,FALSE),0)*100/_xlfn.IFNA(VLOOKUP($B3,SOP_Banh!$C:$X,21,FALSE),0)-100,0)</f>
        <v>-100</v>
      </c>
      <c r="J3" s="61">
        <f>IFERROR(_xlfn.IFNA(VLOOKUP($B3,Dulieutho,ChiTiet!AD$2,FALSE),0)*100/_xlfn.IFNA(VLOOKUP($B3,SOP_Banh!$C:$X,22,FALSE),0)-100,0)</f>
        <v>38.888888888888886</v>
      </c>
      <c r="K3" s="61">
        <f>IFERROR(_xlfn.IFNA(VLOOKUP($B3,QuyDoi_DonVi!$C:$S,3,FALSE),0)*100/_xlfn.IFNA(VLOOKUP($B3,SOP_Banh!$C:$X,12,FALSE),0),0)-100</f>
        <v>-100</v>
      </c>
      <c r="L3" s="61">
        <f>IFERROR(_xlfn.IFNA(VLOOKUP($B3,QuyDoi_DonVi!$C:$S,5,FALSE),0)*100/(_xlfn.IFNA(VLOOKUP($B3,SOP_Banh!$C:$X,13,FALSE),0)*16)-100,0)</f>
        <v>-11.111111111111114</v>
      </c>
      <c r="M3" s="61">
        <f>IFERROR(_xlfn.IFNA(VLOOKUP($B3,QuyDoi_DonVi!$C:$S,4,FALSE),0)*100/_xlfn.IFNA(VLOOKUP($B3,SOP_Banh!$C:$X,14,FALSE),0),0)-100</f>
        <v>177.77777777777777</v>
      </c>
      <c r="N3" s="61">
        <f>IFERROR(_xlfn.IFNA(VLOOKUP($B3,Dulieutho,ChiTiet!L$2,FALSE),0)*100/_xlfn.IFNA(VLOOKUP($B3,SOP_Banh!$C:$X,15,FALSE),0),0)-100</f>
        <v>-23.913043478260875</v>
      </c>
      <c r="O3" s="61">
        <f>IFERROR(_xlfn.IFNA(VLOOKUP($B3,Dulieutho,ChiTiet!AJ$2,FALSE),0)*192*100/_xlfn.IFNA(VLOOKUP($B3,SOP_Banh!$C:$X,16,FALSE),0)-100,0)</f>
        <v>-47.107438016528924</v>
      </c>
      <c r="P3" s="61">
        <f>IFERROR(_xlfn.IFNA(VLOOKUP($B3,Dulieutho,ChiTiet!AG$2,FALSE),0)*100/_xlfn.IFNA(VLOOKUP($B3,SOP_Nuoc!$C:$H,3,FALSE),0)-100,0)</f>
        <v>37.741046831955913</v>
      </c>
      <c r="Q3" s="63">
        <f>IFERROR(_xlfn.IFNA(VLOOKUP($B3,Dulieutho,ChiTiet!AH$2,FALSE),0)*3600*100/_xlfn.IFNA(VLOOKUP($B3,SOP_Banh!$C:$X,18,FALSE),0)-100,0)</f>
        <v>-100</v>
      </c>
      <c r="R3" s="61">
        <f>IFERROR(_xlfn.IFNA(VLOOKUP($B3,QuyDoi_DonVi!$C:$S,17,FALSE),0)*100/_xlfn.IFNA(VLOOKUP($B3,SOP_Banh!$C:$X,19,FALSE),0),0)-100</f>
        <v>37.741046831955913</v>
      </c>
      <c r="S3" s="60">
        <f>_xlfn.IFNA(VLOOKUP($B3,SOP_Nuoc!$C:$W,19,FALSE),0)</f>
        <v>0</v>
      </c>
      <c r="T3" s="60">
        <f>IF(S3&lt;&gt;0,IFERROR(_xlfn.IFNA(VLOOKUP($B3,QuyDoi_DonVi!$C:$S,7,FALSE),0)*100/_xlfn.IFNA(VLOOKUP($B3,SOP_Nuoc!$C:$W,20,FALSE),0),0)-100,0)</f>
        <v>0</v>
      </c>
      <c r="U3" s="60">
        <f>_xlfn.IFNA(VLOOKUP($B3,QuyDoi_DonVi!$C:$S,10,FALSE),0)</f>
        <v>0</v>
      </c>
      <c r="V3" s="60">
        <f>_xlfn.IFNA(VLOOKUP($B3,QuyDoi_DonVi!$C:$S,8,FALSE),0)</f>
        <v>4</v>
      </c>
      <c r="W3" s="60">
        <f>_xlfn.IFNA(VLOOKUP($B3,Dulieutho,ChiTiet!S$2,FALSE),0)</f>
        <v>36</v>
      </c>
    </row>
    <row r="4" spans="1:23" ht="15.6">
      <c r="A4" s="10" t="s">
        <v>97</v>
      </c>
      <c r="B4" s="9" t="s">
        <v>499</v>
      </c>
      <c r="C4" s="11" t="s">
        <v>500</v>
      </c>
      <c r="D4" s="62">
        <f>IFERROR(SUM(_xlfn.IFNA(VLOOKUP($B4,Dulieutho,ChiTiet!J$2,FALSE),0),_xlfn.IFNA(VLOOKUP($B4,Dulieutho,ChiTiet!K$2,FALSE),0),_xlfn.IFNA(VLOOKUP($B4,Dulieutho,ChiTiet!AK$2,FALSE),0),_xlfn.IFNA(VLOOKUP($B4,Dulieutho,ChiTiet!AL$2,FALSE),0))*100/_xlfn.IFNA(VLOOKUP($B4,SOP_Banh!$C:$X,7,FALSE),0),0)-100</f>
        <v>-100</v>
      </c>
      <c r="E4" s="61">
        <f>IFERROR(_xlfn.IFNA(VLOOKUP($B4,QuyDoi_DonVi!$C:$S,12,FALSE),0)*100/_xlfn.IFNA(VLOOKUP($B4,SOP_Banh!$C:$X,8,FALSE),0),0)-100</f>
        <v>-100</v>
      </c>
      <c r="F4" s="61">
        <f>IFERROR(_xlfn.IFNA(VLOOKUP($B4,QuyDoi_DonVi!$C:$S,13,FALSE),0)*100/_xlfn.IFNA(VLOOKUP($B4,SOP_Banh!$C:$X,9,FALSE),0),0)-100</f>
        <v>-100</v>
      </c>
      <c r="G4" s="63">
        <f>IFERROR(_xlfn.IFNA(VLOOKUP($B4,Dulieutho,ChiTiet!Z$2,FALSE),0)*100/_xlfn.IFNA(VLOOKUP($B4,SOP_Banh!$C:$X,10,FALSE),0),0)-100</f>
        <v>-100</v>
      </c>
      <c r="H4" s="61">
        <f>IFERROR(SUM(_xlfn.IFNA(VLOOKUP($B4,Dulieutho,ChiTiet!AB$2,FALSE),0),_xlfn.IFNA(VLOOKUP($B4,Dulieutho,ChiTiet!AC$2,FALSE),0))*100/_xlfn.IFNA(VLOOKUP($B4,SOP_Banh!$C:$X,20,FALSE),0)-100,0)</f>
        <v>0</v>
      </c>
      <c r="I4" s="61">
        <f>IFERROR(_xlfn.IFNA(VLOOKUP($B4,Dulieutho,ChiTiet!AF$2,FALSE),0)*100/_xlfn.IFNA(VLOOKUP($B4,SOP_Banh!$C:$X,21,FALSE),0)-100,0)</f>
        <v>0</v>
      </c>
      <c r="J4" s="61">
        <f>IFERROR(_xlfn.IFNA(VLOOKUP($B4,Dulieutho,ChiTiet!AD$2,FALSE),0)*100/_xlfn.IFNA(VLOOKUP($B4,SOP_Banh!$C:$X,22,FALSE),0)-100,0)</f>
        <v>0</v>
      </c>
      <c r="K4" s="61">
        <f>IFERROR(_xlfn.IFNA(VLOOKUP($B4,QuyDoi_DonVi!$C:$S,3,FALSE),0)*100/_xlfn.IFNA(VLOOKUP($B4,SOP_Banh!$C:$X,12,FALSE),0),0)-100</f>
        <v>-100</v>
      </c>
      <c r="L4" s="61">
        <f>IFERROR(_xlfn.IFNA(VLOOKUP($B4,QuyDoi_DonVi!$C:$S,5,FALSE),0)*100/(_xlfn.IFNA(VLOOKUP($B4,SOP_Banh!$C:$X,13,FALSE),0)*16)-100,0)</f>
        <v>0</v>
      </c>
      <c r="M4" s="61">
        <f>IFERROR(_xlfn.IFNA(VLOOKUP($B4,QuyDoi_DonVi!$C:$S,4,FALSE),0)*100/_xlfn.IFNA(VLOOKUP($B4,SOP_Banh!$C:$X,14,FALSE),0),0)-100</f>
        <v>-100</v>
      </c>
      <c r="N4" s="61">
        <f>IFERROR(_xlfn.IFNA(VLOOKUP($B4,Dulieutho,ChiTiet!L$2,FALSE),0)*100/_xlfn.IFNA(VLOOKUP($B4,SOP_Banh!$C:$X,15,FALSE),0),0)-100</f>
        <v>-100</v>
      </c>
      <c r="O4" s="61">
        <f>IFERROR(_xlfn.IFNA(VLOOKUP($B4,Dulieutho,ChiTiet!AJ$2,FALSE),0)*192*100/_xlfn.IFNA(VLOOKUP($B4,SOP_Banh!$C:$X,16,FALSE),0)-100,0)</f>
        <v>0</v>
      </c>
      <c r="P4" s="61">
        <f>IFERROR(_xlfn.IFNA(VLOOKUP($B4,Dulieutho,ChiTiet!AG$2,FALSE),0)*100/_xlfn.IFNA(VLOOKUP($B4,SOP_Nuoc!$C:$H,3,FALSE),0)-100,0)</f>
        <v>0</v>
      </c>
      <c r="Q4" s="63">
        <f>IFERROR(_xlfn.IFNA(VLOOKUP($B4,Dulieutho,ChiTiet!AH$2,FALSE),0)*3600*100/_xlfn.IFNA(VLOOKUP($B4,SOP_Banh!$C:$X,18,FALSE),0)-100,0)</f>
        <v>0</v>
      </c>
      <c r="R4" s="61">
        <f>IFERROR(_xlfn.IFNA(VLOOKUP($B4,QuyDoi_DonVi!$C:$S,17,FALSE),0)*100/_xlfn.IFNA(VLOOKUP($B4,SOP_Banh!$C:$X,19,FALSE),0),0)-100</f>
        <v>-100</v>
      </c>
      <c r="S4" s="60">
        <f>_xlfn.IFNA(VLOOKUP($B4,SOP_Nuoc!$C:$W,19,FALSE),0)</f>
        <v>0</v>
      </c>
      <c r="T4" s="60">
        <f>IF(S4&lt;&gt;0,IFERROR(_xlfn.IFNA(VLOOKUP($B4,QuyDoi_DonVi!$C:$S,7,FALSE),0)*100/_xlfn.IFNA(VLOOKUP($B4,SOP_Nuoc!$C:$W,20,FALSE),0),0)-100,0)</f>
        <v>0</v>
      </c>
      <c r="U4" s="60">
        <f>_xlfn.IFNA(VLOOKUP($B4,QuyDoi_DonVi!$C:$S,10,FALSE),0)</f>
        <v>0</v>
      </c>
      <c r="V4" s="60">
        <f>_xlfn.IFNA(VLOOKUP($B4,QuyDoi_DonVi!$C:$S,8,FALSE),0)</f>
        <v>0</v>
      </c>
      <c r="W4" s="60">
        <f>_xlfn.IFNA(VLOOKUP($B4,Dulieutho,ChiTiet!S$2,FALSE),0)</f>
        <v>0</v>
      </c>
    </row>
    <row r="5" spans="1:23" ht="15.6">
      <c r="A5" s="10" t="s">
        <v>97</v>
      </c>
      <c r="B5" s="9" t="s">
        <v>99</v>
      </c>
      <c r="C5" s="11" t="s">
        <v>100</v>
      </c>
      <c r="D5" s="62">
        <f>IFERROR(SUM(_xlfn.IFNA(VLOOKUP($B5,Dulieutho,ChiTiet!J$2,FALSE),0),_xlfn.IFNA(VLOOKUP($B5,Dulieutho,ChiTiet!K$2,FALSE),0),_xlfn.IFNA(VLOOKUP($B5,Dulieutho,ChiTiet!AK$2,FALSE),0),_xlfn.IFNA(VLOOKUP($B5,Dulieutho,ChiTiet!AL$2,FALSE),0))*100/_xlfn.IFNA(VLOOKUP($B5,SOP_Banh!$C:$X,7,FALSE),0),0)-100</f>
        <v>-100</v>
      </c>
      <c r="E5" s="61">
        <f>IFERROR(_xlfn.IFNA(VLOOKUP($B5,QuyDoi_DonVi!$C:$S,12,FALSE),0)*100/_xlfn.IFNA(VLOOKUP($B5,SOP_Banh!$C:$X,8,FALSE),0),0)-100</f>
        <v>41.342756183745593</v>
      </c>
      <c r="F5" s="61">
        <f>IFERROR(_xlfn.IFNA(VLOOKUP($B5,QuyDoi_DonVi!$C:$S,13,FALSE),0)*100/_xlfn.IFNA(VLOOKUP($B5,SOP_Banh!$C:$X,9,FALSE),0),0)-100</f>
        <v>370.58823529411762</v>
      </c>
      <c r="G5" s="63">
        <f>IFERROR(_xlfn.IFNA(VLOOKUP($B5,Dulieutho,ChiTiet!Z$2,FALSE),0)*100/_xlfn.IFNA(VLOOKUP($B5,SOP_Banh!$C:$X,10,FALSE),0),0)-100</f>
        <v>-100</v>
      </c>
      <c r="H5" s="61">
        <f>IFERROR(SUM(_xlfn.IFNA(VLOOKUP($B5,Dulieutho,ChiTiet!AB$2,FALSE),0),_xlfn.IFNA(VLOOKUP($B5,Dulieutho,ChiTiet!AC$2,FALSE),0))*100/_xlfn.IFNA(VLOOKUP($B5,SOP_Banh!$C:$X,20,FALSE),0)-100,0)</f>
        <v>-100</v>
      </c>
      <c r="I5" s="61">
        <f>IFERROR(_xlfn.IFNA(VLOOKUP($B5,Dulieutho,ChiTiet!AF$2,FALSE),0)*100/_xlfn.IFNA(VLOOKUP($B5,SOP_Banh!$C:$X,21,FALSE),0)-100,0)</f>
        <v>-100</v>
      </c>
      <c r="J5" s="61">
        <f>IFERROR(_xlfn.IFNA(VLOOKUP($B5,Dulieutho,ChiTiet!AD$2,FALSE),0)*100/_xlfn.IFNA(VLOOKUP($B5,SOP_Banh!$C:$X,22,FALSE),0)-100,0)</f>
        <v>0</v>
      </c>
      <c r="K5" s="61">
        <f>IFERROR(_xlfn.IFNA(VLOOKUP($B5,QuyDoi_DonVi!$C:$S,3,FALSE),0)*100/_xlfn.IFNA(VLOOKUP($B5,SOP_Banh!$C:$X,12,FALSE),0),0)-100</f>
        <v>-100</v>
      </c>
      <c r="L5" s="61">
        <f>IFERROR(_xlfn.IFNA(VLOOKUP($B5,QuyDoi_DonVi!$C:$S,5,FALSE),0)*100/(_xlfn.IFNA(VLOOKUP($B5,SOP_Banh!$C:$X,13,FALSE),0)*16)-100,0)</f>
        <v>0</v>
      </c>
      <c r="M5" s="61">
        <f>IFERROR(_xlfn.IFNA(VLOOKUP($B5,QuyDoi_DonVi!$C:$S,4,FALSE),0)*100/_xlfn.IFNA(VLOOKUP($B5,SOP_Banh!$C:$X,14,FALSE),0),0)-100</f>
        <v>-100</v>
      </c>
      <c r="N5" s="61">
        <f>IFERROR(_xlfn.IFNA(VLOOKUP($B5,Dulieutho,ChiTiet!L$2,FALSE),0)*100/_xlfn.IFNA(VLOOKUP($B5,SOP_Banh!$C:$X,15,FALSE),0),0)-100</f>
        <v>-100</v>
      </c>
      <c r="O5" s="61">
        <f>IFERROR(_xlfn.IFNA(VLOOKUP($B5,Dulieutho,ChiTiet!AJ$2,FALSE),0)*192*100/_xlfn.IFNA(VLOOKUP($B5,SOP_Banh!$C:$X,16,FALSE),0)-100,0)</f>
        <v>137.45583038869259</v>
      </c>
      <c r="P5" s="61">
        <f>IFERROR(_xlfn.IFNA(VLOOKUP($B5,Dulieutho,ChiTiet!AG$2,FALSE),0)*100/_xlfn.IFNA(VLOOKUP($B5,SOP_Nuoc!$C:$H,3,FALSE),0)-100,0)</f>
        <v>-100</v>
      </c>
      <c r="Q5" s="63">
        <f>IFERROR(_xlfn.IFNA(VLOOKUP($B5,Dulieutho,ChiTiet!AH$2,FALSE),0)*3600*100/_xlfn.IFNA(VLOOKUP($B5,SOP_Banh!$C:$X,18,FALSE),0)-100,0)</f>
        <v>-100</v>
      </c>
      <c r="R5" s="61">
        <f>IFERROR(_xlfn.IFNA(VLOOKUP($B5,QuyDoi_DonVi!$C:$S,17,FALSE),0)*100/_xlfn.IFNA(VLOOKUP($B5,SOP_Banh!$C:$X,19,FALSE),0),0)-100</f>
        <v>-100</v>
      </c>
      <c r="S5" s="60">
        <f>_xlfn.IFNA(VLOOKUP($B5,SOP_Nuoc!$C:$W,19,FALSE),0)</f>
        <v>0</v>
      </c>
      <c r="T5" s="60">
        <f>IF(S5&lt;&gt;0,IFERROR(_xlfn.IFNA(VLOOKUP($B5,QuyDoi_DonVi!$C:$S,7,FALSE),0)*100/_xlfn.IFNA(VLOOKUP($B5,SOP_Nuoc!$C:$W,20,FALSE),0),0)-100,0)</f>
        <v>0</v>
      </c>
      <c r="U5" s="60">
        <f>_xlfn.IFNA(VLOOKUP($B5,QuyDoi_DonVi!$C:$S,10,FALSE),0)</f>
        <v>0</v>
      </c>
      <c r="V5" s="60">
        <f>_xlfn.IFNA(VLOOKUP($B5,QuyDoi_DonVi!$C:$S,8,FALSE),0)</f>
        <v>21</v>
      </c>
      <c r="W5" s="60">
        <f>_xlfn.IFNA(VLOOKUP($B5,Dulieutho,ChiTiet!S$2,FALSE),0)</f>
        <v>0</v>
      </c>
    </row>
    <row r="6" spans="1:23" ht="15.6">
      <c r="A6" s="10" t="s">
        <v>97</v>
      </c>
      <c r="B6" s="9" t="s">
        <v>101</v>
      </c>
      <c r="C6" s="11" t="s">
        <v>102</v>
      </c>
      <c r="D6" s="62">
        <f>IFERROR(SUM(_xlfn.IFNA(VLOOKUP($B6,Dulieutho,ChiTiet!J$2,FALSE),0),_xlfn.IFNA(VLOOKUP($B6,Dulieutho,ChiTiet!K$2,FALSE),0),_xlfn.IFNA(VLOOKUP($B6,Dulieutho,ChiTiet!AK$2,FALSE),0),_xlfn.IFNA(VLOOKUP($B6,Dulieutho,ChiTiet!AL$2,FALSE),0))*100/_xlfn.IFNA(VLOOKUP($B6,SOP_Banh!$C:$X,7,FALSE),0),0)-100</f>
        <v>-100</v>
      </c>
      <c r="E6" s="61">
        <f>IFERROR(_xlfn.IFNA(VLOOKUP($B6,QuyDoi_DonVi!$C:$S,12,FALSE),0)*100/_xlfn.IFNA(VLOOKUP($B6,SOP_Banh!$C:$X,8,FALSE),0),0)-100</f>
        <v>-100</v>
      </c>
      <c r="F6" s="61">
        <f>IFERROR(_xlfn.IFNA(VLOOKUP($B6,QuyDoi_DonVi!$C:$S,13,FALSE),0)*100/_xlfn.IFNA(VLOOKUP($B6,SOP_Banh!$C:$X,9,FALSE),0),0)-100</f>
        <v>-100</v>
      </c>
      <c r="G6" s="63">
        <f>IFERROR(_xlfn.IFNA(VLOOKUP($B6,Dulieutho,ChiTiet!Z$2,FALSE),0)*100/_xlfn.IFNA(VLOOKUP($B6,SOP_Banh!$C:$X,10,FALSE),0),0)-100</f>
        <v>-100</v>
      </c>
      <c r="H6" s="61">
        <f>IFERROR(SUM(_xlfn.IFNA(VLOOKUP($B6,Dulieutho,ChiTiet!AB$2,FALSE),0),_xlfn.IFNA(VLOOKUP($B6,Dulieutho,ChiTiet!AC$2,FALSE),0))*100/_xlfn.IFNA(VLOOKUP($B6,SOP_Banh!$C:$X,20,FALSE),0)-100,0)</f>
        <v>0</v>
      </c>
      <c r="I6" s="61">
        <f>IFERROR(_xlfn.IFNA(VLOOKUP($B6,Dulieutho,ChiTiet!AF$2,FALSE),0)*100/_xlfn.IFNA(VLOOKUP($B6,SOP_Banh!$C:$X,21,FALSE),0)-100,0)</f>
        <v>0</v>
      </c>
      <c r="J6" s="61">
        <f>IFERROR(_xlfn.IFNA(VLOOKUP($B6,Dulieutho,ChiTiet!AD$2,FALSE),0)*100/_xlfn.IFNA(VLOOKUP($B6,SOP_Banh!$C:$X,22,FALSE),0)-100,0)</f>
        <v>0</v>
      </c>
      <c r="K6" s="61">
        <f>IFERROR(_xlfn.IFNA(VLOOKUP($B6,QuyDoi_DonVi!$C:$S,3,FALSE),0)*100/_xlfn.IFNA(VLOOKUP($B6,SOP_Banh!$C:$X,12,FALSE),0),0)-100</f>
        <v>-100</v>
      </c>
      <c r="L6" s="61">
        <f>IFERROR(_xlfn.IFNA(VLOOKUP($B6,QuyDoi_DonVi!$C:$S,5,FALSE),0)*100/(_xlfn.IFNA(VLOOKUP($B6,SOP_Banh!$C:$X,13,FALSE),0)*16)-100,0)</f>
        <v>0</v>
      </c>
      <c r="M6" s="61">
        <f>IFERROR(_xlfn.IFNA(VLOOKUP($B6,QuyDoi_DonVi!$C:$S,4,FALSE),0)*100/_xlfn.IFNA(VLOOKUP($B6,SOP_Banh!$C:$X,14,FALSE),0),0)-100</f>
        <v>-100</v>
      </c>
      <c r="N6" s="61">
        <f>IFERROR(_xlfn.IFNA(VLOOKUP($B6,Dulieutho,ChiTiet!L$2,FALSE),0)*100/_xlfn.IFNA(VLOOKUP($B6,SOP_Banh!$C:$X,15,FALSE),0),0)-100</f>
        <v>-100</v>
      </c>
      <c r="O6" s="61">
        <f>IFERROR(_xlfn.IFNA(VLOOKUP($B6,Dulieutho,ChiTiet!AJ$2,FALSE),0)*192*100/_xlfn.IFNA(VLOOKUP($B6,SOP_Banh!$C:$X,16,FALSE),0)-100,0)</f>
        <v>0</v>
      </c>
      <c r="P6" s="61">
        <f>IFERROR(_xlfn.IFNA(VLOOKUP($B6,Dulieutho,ChiTiet!AG$2,FALSE),0)*100/_xlfn.IFNA(VLOOKUP($B6,SOP_Nuoc!$C:$H,3,FALSE),0)-100,0)</f>
        <v>0</v>
      </c>
      <c r="Q6" s="63">
        <f>IFERROR(_xlfn.IFNA(VLOOKUP($B6,Dulieutho,ChiTiet!AH$2,FALSE),0)*3600*100/_xlfn.IFNA(VLOOKUP($B6,SOP_Banh!$C:$X,18,FALSE),0)-100,0)</f>
        <v>0</v>
      </c>
      <c r="R6" s="61">
        <f>IFERROR(_xlfn.IFNA(VLOOKUP($B6,QuyDoi_DonVi!$C:$S,17,FALSE),0)*100/_xlfn.IFNA(VLOOKUP($B6,SOP_Banh!$C:$X,19,FALSE),0),0)-100</f>
        <v>-100</v>
      </c>
      <c r="S6" s="60">
        <f>_xlfn.IFNA(VLOOKUP($B6,SOP_Nuoc!$C:$W,19,FALSE),0)</f>
        <v>0</v>
      </c>
      <c r="T6" s="60">
        <f>IF(S6&lt;&gt;0,IFERROR(_xlfn.IFNA(VLOOKUP($B6,QuyDoi_DonVi!$C:$S,7,FALSE),0)*100/_xlfn.IFNA(VLOOKUP($B6,SOP_Nuoc!$C:$W,20,FALSE),0),0)-100,0)</f>
        <v>0</v>
      </c>
      <c r="U6" s="60">
        <f>_xlfn.IFNA(VLOOKUP($B6,QuyDoi_DonVi!$C:$S,10,FALSE),0)</f>
        <v>0</v>
      </c>
      <c r="V6" s="60">
        <f>_xlfn.IFNA(VLOOKUP($B6,QuyDoi_DonVi!$C:$S,8,FALSE),0)</f>
        <v>0</v>
      </c>
      <c r="W6" s="60">
        <f>_xlfn.IFNA(VLOOKUP($B6,Dulieutho,ChiTiet!S$2,FALSE),0)</f>
        <v>0</v>
      </c>
    </row>
    <row r="7" spans="1:23" ht="15.6">
      <c r="A7" s="10" t="s">
        <v>97</v>
      </c>
      <c r="B7" s="9" t="s">
        <v>103</v>
      </c>
      <c r="C7" s="11" t="s">
        <v>104</v>
      </c>
      <c r="D7" s="62">
        <f>IFERROR(SUM(_xlfn.IFNA(VLOOKUP($B7,Dulieutho,ChiTiet!J$2,FALSE),0),_xlfn.IFNA(VLOOKUP($B7,Dulieutho,ChiTiet!K$2,FALSE),0),_xlfn.IFNA(VLOOKUP($B7,Dulieutho,ChiTiet!AK$2,FALSE),0),_xlfn.IFNA(VLOOKUP($B7,Dulieutho,ChiTiet!AL$2,FALSE),0))*100/_xlfn.IFNA(VLOOKUP($B7,SOP_Banh!$C:$X,7,FALSE),0),0)-100</f>
        <v>-2.2206303724928347</v>
      </c>
      <c r="E7" s="61">
        <f>IFERROR(_xlfn.IFNA(VLOOKUP($B7,QuyDoi_DonVi!$C:$S,12,FALSE),0)*100/_xlfn.IFNA(VLOOKUP($B7,SOP_Banh!$C:$X,8,FALSE),0),0)-100</f>
        <v>36.239782016348784</v>
      </c>
      <c r="F7" s="61">
        <f>IFERROR(_xlfn.IFNA(VLOOKUP($B7,QuyDoi_DonVi!$C:$S,13,FALSE),0)*100/_xlfn.IFNA(VLOOKUP($B7,SOP_Banh!$C:$X,9,FALSE),0),0)-100</f>
        <v>-32.705248990578738</v>
      </c>
      <c r="G7" s="63">
        <f>IFERROR(_xlfn.IFNA(VLOOKUP($B7,Dulieutho,ChiTiet!Z$2,FALSE),0)*100/_xlfn.IFNA(VLOOKUP($B7,SOP_Banh!$C:$X,10,FALSE),0),0)-100</f>
        <v>27.363184079601993</v>
      </c>
      <c r="H7" s="61">
        <f>IFERROR(SUM(_xlfn.IFNA(VLOOKUP($B7,Dulieutho,ChiTiet!AB$2,FALSE),0),_xlfn.IFNA(VLOOKUP($B7,Dulieutho,ChiTiet!AC$2,FALSE),0))*100/_xlfn.IFNA(VLOOKUP($B7,SOP_Banh!$C:$X,20,FALSE),0)-100,0)</f>
        <v>-24.785100286532952</v>
      </c>
      <c r="I7" s="61">
        <f>IFERROR(_xlfn.IFNA(VLOOKUP($B7,Dulieutho,ChiTiet!AF$2,FALSE),0)*100/_xlfn.IFNA(VLOOKUP($B7,SOP_Banh!$C:$X,21,FALSE),0)-100,0)</f>
        <v>-30.555555555555557</v>
      </c>
      <c r="J7" s="61">
        <f>IFERROR(_xlfn.IFNA(VLOOKUP($B7,Dulieutho,ChiTiet!AD$2,FALSE),0)*100/_xlfn.IFNA(VLOOKUP($B7,SOP_Banh!$C:$X,22,FALSE),0)-100,0)</f>
        <v>-44.444444444444443</v>
      </c>
      <c r="K7" s="61">
        <f>IFERROR(_xlfn.IFNA(VLOOKUP($B7,QuyDoi_DonVi!$C:$S,3,FALSE),0)*100/_xlfn.IFNA(VLOOKUP($B7,SOP_Banh!$C:$X,12,FALSE),0),0)-100</f>
        <v>11.111111111111114</v>
      </c>
      <c r="L7" s="61">
        <f>IFERROR(_xlfn.IFNA(VLOOKUP($B7,QuyDoi_DonVi!$C:$S,5,FALSE),0)*100/(_xlfn.IFNA(VLOOKUP($B7,SOP_Banh!$C:$X,13,FALSE),0)*16)-100,0)</f>
        <v>-28.888888888888886</v>
      </c>
      <c r="M7" s="61">
        <f>IFERROR(_xlfn.IFNA(VLOOKUP($B7,QuyDoi_DonVi!$C:$S,4,FALSE),0)*100/_xlfn.IFNA(VLOOKUP($B7,SOP_Banh!$C:$X,14,FALSE),0),0)-100</f>
        <v>11.111111111111114</v>
      </c>
      <c r="N7" s="61">
        <f>IFERROR(_xlfn.IFNA(VLOOKUP($B7,Dulieutho,ChiTiet!L$2,FALSE),0)*100/_xlfn.IFNA(VLOOKUP($B7,SOP_Banh!$C:$X,15,FALSE),0),0)-100</f>
        <v>73.611111111111114</v>
      </c>
      <c r="O7" s="61">
        <f>IFERROR(_xlfn.IFNA(VLOOKUP($B7,Dulieutho,ChiTiet!AJ$2,FALSE),0)*192*100/_xlfn.IFNA(VLOOKUP($B7,SOP_Banh!$C:$X,16,FALSE),0)-100,0)</f>
        <v>-26.059050064184859</v>
      </c>
      <c r="P7" s="61">
        <f>IFERROR(_xlfn.IFNA(VLOOKUP($B7,Dulieutho,ChiTiet!AG$2,FALSE),0)*100/_xlfn.IFNA(VLOOKUP($B7,SOP_Nuoc!$C:$H,3,FALSE),0)-100,0)</f>
        <v>-3.7227214377406881</v>
      </c>
      <c r="Q7" s="63">
        <f>IFERROR(_xlfn.IFNA(VLOOKUP($B7,Dulieutho,ChiTiet!AH$2,FALSE),0)*3600*100/_xlfn.IFNA(VLOOKUP($B7,SOP_Banh!$C:$X,18,FALSE),0)-100,0)</f>
        <v>15.532734274711174</v>
      </c>
      <c r="R7" s="61">
        <f>IFERROR(_xlfn.IFNA(VLOOKUP($B7,QuyDoi_DonVi!$C:$S,17,FALSE),0)*100/_xlfn.IFNA(VLOOKUP($B7,SOP_Banh!$C:$X,19,FALSE),0),0)-100</f>
        <v>-3.7227214377406881</v>
      </c>
      <c r="S7" s="60">
        <f>_xlfn.IFNA(VLOOKUP($B7,SOP_Nuoc!$C:$W,19,FALSE),0)</f>
        <v>25</v>
      </c>
      <c r="T7" s="60">
        <f>IF(S7&lt;&gt;0,IFERROR(_xlfn.IFNA(VLOOKUP($B7,QuyDoi_DonVi!$C:$S,7,FALSE),0)*100/_xlfn.IFNA(VLOOKUP($B7,SOP_Nuoc!$C:$W,20,FALSE),0),0)-100,0)</f>
        <v>75.999999999999972</v>
      </c>
      <c r="U7" s="60">
        <f>_xlfn.IFNA(VLOOKUP($B7,QuyDoi_DonVi!$C:$S,10,FALSE),0)</f>
        <v>36</v>
      </c>
      <c r="V7" s="60">
        <f>_xlfn.IFNA(VLOOKUP($B7,QuyDoi_DonVi!$C:$S,8,FALSE),0)</f>
        <v>39</v>
      </c>
      <c r="W7" s="60">
        <f>_xlfn.IFNA(VLOOKUP($B7,Dulieutho,ChiTiet!S$2,FALSE),0)</f>
        <v>72</v>
      </c>
    </row>
    <row r="8" spans="1:23" ht="15.6">
      <c r="A8" s="10" t="s">
        <v>97</v>
      </c>
      <c r="B8" s="9" t="s">
        <v>105</v>
      </c>
      <c r="C8" s="11" t="s">
        <v>106</v>
      </c>
      <c r="D8" s="62">
        <f>IFERROR(SUM(_xlfn.IFNA(VLOOKUP($B8,Dulieutho,ChiTiet!J$2,FALSE),0),_xlfn.IFNA(VLOOKUP($B8,Dulieutho,ChiTiet!K$2,FALSE),0),_xlfn.IFNA(VLOOKUP($B8,Dulieutho,ChiTiet!AK$2,FALSE),0),_xlfn.IFNA(VLOOKUP($B8,Dulieutho,ChiTiet!AL$2,FALSE),0))*100/_xlfn.IFNA(VLOOKUP($B8,SOP_Banh!$C:$X,7,FALSE),0),0)-100</f>
        <v>7.5845012366034581</v>
      </c>
      <c r="E8" s="61">
        <f>IFERROR(_xlfn.IFNA(VLOOKUP($B8,QuyDoi_DonVi!$C:$S,12,FALSE),0)*100/_xlfn.IFNA(VLOOKUP($B8,SOP_Banh!$C:$X,8,FALSE),0),0)-100</f>
        <v>5.342362678705797</v>
      </c>
      <c r="F8" s="61">
        <f>IFERROR(_xlfn.IFNA(VLOOKUP($B8,QuyDoi_DonVi!$C:$S,13,FALSE),0)*100/_xlfn.IFNA(VLOOKUP($B8,SOP_Banh!$C:$X,9,FALSE),0),0)-100</f>
        <v>-19.549477071600961</v>
      </c>
      <c r="G8" s="63">
        <f>IFERROR(_xlfn.IFNA(VLOOKUP($B8,Dulieutho,ChiTiet!Z$2,FALSE),0)*100/_xlfn.IFNA(VLOOKUP($B8,SOP_Banh!$C:$X,10,FALSE),0),0)-100</f>
        <v>37.373737373737384</v>
      </c>
      <c r="H8" s="61">
        <f>IFERROR(SUM(_xlfn.IFNA(VLOOKUP($B8,Dulieutho,ChiTiet!AB$2,FALSE),0),_xlfn.IFNA(VLOOKUP($B8,Dulieutho,ChiTiet!AC$2,FALSE),0))*100/_xlfn.IFNA(VLOOKUP($B8,SOP_Banh!$C:$X,20,FALSE),0)-100,0)</f>
        <v>-27.864798021434467</v>
      </c>
      <c r="I8" s="61">
        <f>IFERROR(_xlfn.IFNA(VLOOKUP($B8,Dulieutho,ChiTiet!AF$2,FALSE),0)*100/_xlfn.IFNA(VLOOKUP($B8,SOP_Banh!$C:$X,21,FALSE),0)-100,0)</f>
        <v>29.310344827586221</v>
      </c>
      <c r="J8" s="61">
        <f>IFERROR(_xlfn.IFNA(VLOOKUP($B8,Dulieutho,ChiTiet!AD$2,FALSE),0)*100/_xlfn.IFNA(VLOOKUP($B8,SOP_Banh!$C:$X,22,FALSE),0)-100,0)</f>
        <v>66.666666666666657</v>
      </c>
      <c r="K8" s="61">
        <f>IFERROR(_xlfn.IFNA(VLOOKUP($B8,QuyDoi_DonVi!$C:$S,3,FALSE),0)*100/_xlfn.IFNA(VLOOKUP($B8,SOP_Banh!$C:$X,12,FALSE),0),0)-100</f>
        <v>66.666666666666657</v>
      </c>
      <c r="L8" s="61">
        <f>IFERROR(_xlfn.IFNA(VLOOKUP($B8,QuyDoi_DonVi!$C:$S,5,FALSE),0)*100/(_xlfn.IFNA(VLOOKUP($B8,SOP_Banh!$C:$X,13,FALSE),0)*16)-100,0)</f>
        <v>-46.666666666666664</v>
      </c>
      <c r="M8" s="61">
        <f>IFERROR(_xlfn.IFNA(VLOOKUP($B8,QuyDoi_DonVi!$C:$S,4,FALSE),0)*100/_xlfn.IFNA(VLOOKUP($B8,SOP_Banh!$C:$X,14,FALSE),0),0)-100</f>
        <v>233.33333333333331</v>
      </c>
      <c r="N8" s="61">
        <f>IFERROR(_xlfn.IFNA(VLOOKUP($B8,Dulieutho,ChiTiet!L$2,FALSE),0)*100/_xlfn.IFNA(VLOOKUP($B8,SOP_Banh!$C:$X,15,FALSE),0),0)-100</f>
        <v>529.31034482758616</v>
      </c>
      <c r="O8" s="61">
        <f>IFERROR(_xlfn.IFNA(VLOOKUP($B8,Dulieutho,ChiTiet!AJ$2,FALSE),0)*192*100/_xlfn.IFNA(VLOOKUP($B8,SOP_Banh!$C:$X,16,FALSE),0)-100,0)</f>
        <v>-29.359823399558493</v>
      </c>
      <c r="P8" s="61">
        <f>IFERROR(_xlfn.IFNA(VLOOKUP($B8,Dulieutho,ChiTiet!AG$2,FALSE),0)*100/_xlfn.IFNA(VLOOKUP($B8,SOP_Nuoc!$C:$H,3,FALSE),0)-100,0)</f>
        <v>-26.416482707873442</v>
      </c>
      <c r="Q8" s="63">
        <f>IFERROR(_xlfn.IFNA(VLOOKUP($B8,Dulieutho,ChiTiet!AH$2,FALSE),0)*3600*100/_xlfn.IFNA(VLOOKUP($B8,SOP_Banh!$C:$X,18,FALSE),0)-100,0)</f>
        <v>32.450331125827802</v>
      </c>
      <c r="R8" s="61">
        <f>IFERROR(_xlfn.IFNA(VLOOKUP($B8,QuyDoi_DonVi!$C:$S,17,FALSE),0)*100/_xlfn.IFNA(VLOOKUP($B8,SOP_Banh!$C:$X,19,FALSE),0),0)-100</f>
        <v>-26.416482707873442</v>
      </c>
      <c r="S8" s="60">
        <f>_xlfn.IFNA(VLOOKUP($B8,SOP_Nuoc!$C:$W,19,FALSE),0)</f>
        <v>0</v>
      </c>
      <c r="T8" s="60">
        <f>IF(S8&lt;&gt;0,IFERROR(_xlfn.IFNA(VLOOKUP($B8,QuyDoi_DonVi!$C:$S,7,FALSE),0)*100/_xlfn.IFNA(VLOOKUP($B8,SOP_Nuoc!$C:$W,20,FALSE),0),0)-100,0)</f>
        <v>0</v>
      </c>
      <c r="U8" s="60">
        <f>_xlfn.IFNA(VLOOKUP($B8,QuyDoi_DonVi!$C:$S,10,FALSE),0)</f>
        <v>24</v>
      </c>
      <c r="V8" s="60">
        <f>_xlfn.IFNA(VLOOKUP($B8,QuyDoi_DonVi!$C:$S,8,FALSE),0)</f>
        <v>11</v>
      </c>
      <c r="W8" s="60">
        <f>_xlfn.IFNA(VLOOKUP($B8,Dulieutho,ChiTiet!S$2,FALSE),0)</f>
        <v>132</v>
      </c>
    </row>
    <row r="9" spans="1:23" ht="15.6">
      <c r="A9" s="10" t="s">
        <v>97</v>
      </c>
      <c r="B9" s="9" t="s">
        <v>107</v>
      </c>
      <c r="C9" s="11" t="s">
        <v>108</v>
      </c>
      <c r="D9" s="62">
        <f>IFERROR(SUM(_xlfn.IFNA(VLOOKUP($B9,Dulieutho,ChiTiet!J$2,FALSE),0),_xlfn.IFNA(VLOOKUP($B9,Dulieutho,ChiTiet!K$2,FALSE),0),_xlfn.IFNA(VLOOKUP($B9,Dulieutho,ChiTiet!AK$2,FALSE),0),_xlfn.IFNA(VLOOKUP($B9,Dulieutho,ChiTiet!AL$2,FALSE),0))*100/_xlfn.IFNA(VLOOKUP($B9,SOP_Banh!$C:$X,7,FALSE),0),0)-100</f>
        <v>9.2964824120602998</v>
      </c>
      <c r="E9" s="61">
        <f>IFERROR(_xlfn.IFNA(VLOOKUP($B9,QuyDoi_DonVi!$C:$S,12,FALSE),0)*100/_xlfn.IFNA(VLOOKUP($B9,SOP_Banh!$C:$X,8,FALSE),0),0)-100</f>
        <v>-22.346850733390852</v>
      </c>
      <c r="F9" s="61">
        <f>IFERROR(_xlfn.IFNA(VLOOKUP($B9,QuyDoi_DonVi!$C:$S,13,FALSE),0)*100/_xlfn.IFNA(VLOOKUP($B9,SOP_Banh!$C:$X,9,FALSE),0),0)-100</f>
        <v>-17.958067456700093</v>
      </c>
      <c r="G9" s="63">
        <f>IFERROR(_xlfn.IFNA(VLOOKUP($B9,Dulieutho,ChiTiet!Z$2,FALSE),0)*100/_xlfn.IFNA(VLOOKUP($B9,SOP_Banh!$C:$X,10,FALSE),0),0)-100</f>
        <v>-67.010309278350519</v>
      </c>
      <c r="H9" s="61">
        <f>IFERROR(SUM(_xlfn.IFNA(VLOOKUP($B9,Dulieutho,ChiTiet!AB$2,FALSE),0),_xlfn.IFNA(VLOOKUP($B9,Dulieutho,ChiTiet!AC$2,FALSE),0))*100/_xlfn.IFNA(VLOOKUP($B9,SOP_Banh!$C:$X,20,FALSE),0)-100,0)</f>
        <v>-39.698492462311556</v>
      </c>
      <c r="I9" s="61">
        <f>IFERROR(_xlfn.IFNA(VLOOKUP($B9,Dulieutho,ChiTiet!AF$2,FALSE),0)*100/_xlfn.IFNA(VLOOKUP($B9,SOP_Banh!$C:$X,21,FALSE),0)-100,0)</f>
        <v>6.7073170731707279</v>
      </c>
      <c r="J9" s="61">
        <f>IFERROR(_xlfn.IFNA(VLOOKUP($B9,Dulieutho,ChiTiet!AD$2,FALSE),0)*100/_xlfn.IFNA(VLOOKUP($B9,SOP_Banh!$C:$X,22,FALSE),0)-100,0)</f>
        <v>-26.470588235294116</v>
      </c>
      <c r="K9" s="61">
        <f>IFERROR(_xlfn.IFNA(VLOOKUP($B9,QuyDoi_DonVi!$C:$S,3,FALSE),0)*100/_xlfn.IFNA(VLOOKUP($B9,SOP_Banh!$C:$X,12,FALSE),0),0)-100</f>
        <v>-75.490196078431367</v>
      </c>
      <c r="L9" s="61">
        <f>IFERROR(_xlfn.IFNA(VLOOKUP($B9,QuyDoi_DonVi!$C:$S,5,FALSE),0)*100/(_xlfn.IFNA(VLOOKUP($B9,SOP_Banh!$C:$X,13,FALSE),0)*16)-100,0)</f>
        <v>-37.254901960784316</v>
      </c>
      <c r="M9" s="61">
        <f>IFERROR(_xlfn.IFNA(VLOOKUP($B9,QuyDoi_DonVi!$C:$S,4,FALSE),0)*100/_xlfn.IFNA(VLOOKUP($B9,SOP_Banh!$C:$X,14,FALSE),0),0)-100</f>
        <v>-50.980392156862742</v>
      </c>
      <c r="N9" s="61">
        <f>IFERROR(_xlfn.IFNA(VLOOKUP($B9,Dulieutho,ChiTiet!L$2,FALSE),0)*100/_xlfn.IFNA(VLOOKUP($B9,SOP_Banh!$C:$X,15,FALSE),0),0)-100</f>
        <v>-39.024390243902438</v>
      </c>
      <c r="O9" s="61">
        <f>IFERROR(_xlfn.IFNA(VLOOKUP($B9,Dulieutho,ChiTiet!AJ$2,FALSE),0)*192*100/_xlfn.IFNA(VLOOKUP($B9,SOP_Banh!$C:$X,16,FALSE),0)-100,0)</f>
        <v>-12.450436161776366</v>
      </c>
      <c r="P9" s="61">
        <f>IFERROR(_xlfn.IFNA(VLOOKUP($B9,Dulieutho,ChiTiet!AG$2,FALSE),0)*100/_xlfn.IFNA(VLOOKUP($B9,SOP_Nuoc!$C:$H,3,FALSE),0)-100,0)</f>
        <v>-0.87232355273592077</v>
      </c>
      <c r="Q9" s="63">
        <f>IFERROR(_xlfn.IFNA(VLOOKUP($B9,Dulieutho,ChiTiet!AH$2,FALSE),0)*3600*100/_xlfn.IFNA(VLOOKUP($B9,SOP_Banh!$C:$X,18,FALSE),0)-100,0)</f>
        <v>-28.628072957969863</v>
      </c>
      <c r="R9" s="61">
        <f>IFERROR(_xlfn.IFNA(VLOOKUP($B9,QuyDoi_DonVi!$C:$S,17,FALSE),0)*100/_xlfn.IFNA(VLOOKUP($B9,SOP_Banh!$C:$X,19,FALSE),0),0)-100</f>
        <v>-0.87232355273592077</v>
      </c>
      <c r="S9" s="60">
        <f>_xlfn.IFNA(VLOOKUP($B9,SOP_Nuoc!$C:$W,19,FALSE),0)</f>
        <v>25</v>
      </c>
      <c r="T9" s="60">
        <f>IF(S9&lt;&gt;0,IFERROR(_xlfn.IFNA(VLOOKUP($B9,QuyDoi_DonVi!$C:$S,7,FALSE),0)*100/_xlfn.IFNA(VLOOKUP($B9,SOP_Nuoc!$C:$W,20,FALSE),0),0)-100,0)</f>
        <v>-34</v>
      </c>
      <c r="U9" s="60">
        <f>_xlfn.IFNA(VLOOKUP($B9,QuyDoi_DonVi!$C:$S,10,FALSE),0)</f>
        <v>12</v>
      </c>
      <c r="V9" s="60">
        <f>_xlfn.IFNA(VLOOKUP($B9,QuyDoi_DonVi!$C:$S,8,FALSE),0)</f>
        <v>32</v>
      </c>
      <c r="W9" s="60">
        <f>_xlfn.IFNA(VLOOKUP($B9,Dulieutho,ChiTiet!S$2,FALSE),0)</f>
        <v>156</v>
      </c>
    </row>
    <row r="10" spans="1:23" ht="15.6">
      <c r="A10" s="10" t="s">
        <v>97</v>
      </c>
      <c r="B10" s="9" t="s">
        <v>109</v>
      </c>
      <c r="C10" s="11" t="s">
        <v>110</v>
      </c>
      <c r="D10" s="62">
        <f>IFERROR(SUM(_xlfn.IFNA(VLOOKUP($B10,Dulieutho,ChiTiet!J$2,FALSE),0),_xlfn.IFNA(VLOOKUP($B10,Dulieutho,ChiTiet!K$2,FALSE),0),_xlfn.IFNA(VLOOKUP($B10,Dulieutho,ChiTiet!AK$2,FALSE),0),_xlfn.IFNA(VLOOKUP($B10,Dulieutho,ChiTiet!AL$2,FALSE),0))*100/_xlfn.IFNA(VLOOKUP($B10,SOP_Banh!$C:$X,7,FALSE),0),0)-100</f>
        <v>5.5133079847908704</v>
      </c>
      <c r="E10" s="61">
        <f>IFERROR(_xlfn.IFNA(VLOOKUP($B10,QuyDoi_DonVi!$C:$S,12,FALSE),0)*100/_xlfn.IFNA(VLOOKUP($B10,SOP_Banh!$C:$X,8,FALSE),0),0)-100</f>
        <v>69.491525423728802</v>
      </c>
      <c r="F10" s="61">
        <f>IFERROR(_xlfn.IFNA(VLOOKUP($B10,QuyDoi_DonVi!$C:$S,13,FALSE),0)*100/_xlfn.IFNA(VLOOKUP($B10,SOP_Banh!$C:$X,9,FALSE),0),0)-100</f>
        <v>16.851168511685117</v>
      </c>
      <c r="G10" s="63">
        <f>IFERROR(_xlfn.IFNA(VLOOKUP($B10,Dulieutho,ChiTiet!Z$2,FALSE),0)*100/_xlfn.IFNA(VLOOKUP($B10,SOP_Banh!$C:$X,10,FALSE),0),0)-100</f>
        <v>0.90090090090090769</v>
      </c>
      <c r="H10" s="61">
        <f>IFERROR(SUM(_xlfn.IFNA(VLOOKUP($B10,Dulieutho,ChiTiet!AB$2,FALSE),0),_xlfn.IFNA(VLOOKUP($B10,Dulieutho,ChiTiet!AC$2,FALSE),0))*100/_xlfn.IFNA(VLOOKUP($B10,SOP_Banh!$C:$X,20,FALSE),0)-100,0)</f>
        <v>-47.718631178707227</v>
      </c>
      <c r="I10" s="61">
        <f>IFERROR(_xlfn.IFNA(VLOOKUP($B10,Dulieutho,ChiTiet!AF$2,FALSE),0)*100/_xlfn.IFNA(VLOOKUP($B10,SOP_Banh!$C:$X,21,FALSE),0)-100,0)</f>
        <v>35.13513513513513</v>
      </c>
      <c r="J10" s="61">
        <f>IFERROR(_xlfn.IFNA(VLOOKUP($B10,Dulieutho,ChiTiet!AD$2,FALSE),0)*100/_xlfn.IFNA(VLOOKUP($B10,SOP_Banh!$C:$X,22,FALSE),0)-100,0)</f>
        <v>108.33333333333334</v>
      </c>
      <c r="K10" s="61">
        <f>IFERROR(_xlfn.IFNA(VLOOKUP($B10,QuyDoi_DonVi!$C:$S,3,FALSE),0)*100/_xlfn.IFNA(VLOOKUP($B10,SOP_Banh!$C:$X,12,FALSE),0),0)-100</f>
        <v>-100</v>
      </c>
      <c r="L10" s="61">
        <f>IFERROR(_xlfn.IFNA(VLOOKUP($B10,QuyDoi_DonVi!$C:$S,5,FALSE),0)*100/(_xlfn.IFNA(VLOOKUP($B10,SOP_Banh!$C:$X,13,FALSE),0)*16)-100,0)</f>
        <v>33.333333333333343</v>
      </c>
      <c r="M10" s="61">
        <f>IFERROR(_xlfn.IFNA(VLOOKUP($B10,QuyDoi_DonVi!$C:$S,4,FALSE),0)*100/_xlfn.IFNA(VLOOKUP($B10,SOP_Banh!$C:$X,14,FALSE),0),0)-100</f>
        <v>-100</v>
      </c>
      <c r="N10" s="61">
        <f>IFERROR(_xlfn.IFNA(VLOOKUP($B10,Dulieutho,ChiTiet!L$2,FALSE),0)*100/_xlfn.IFNA(VLOOKUP($B10,SOP_Banh!$C:$X,15,FALSE),0),0)-100</f>
        <v>8.1081081081081123</v>
      </c>
      <c r="O10" s="61">
        <f>IFERROR(_xlfn.IFNA(VLOOKUP($B10,Dulieutho,ChiTiet!AJ$2,FALSE),0)*192*100/_xlfn.IFNA(VLOOKUP($B10,SOP_Banh!$C:$X,16,FALSE),0)-100,0)</f>
        <v>-4</v>
      </c>
      <c r="P10" s="61">
        <f>IFERROR(_xlfn.IFNA(VLOOKUP($B10,Dulieutho,ChiTiet!AG$2,FALSE),0)*100/_xlfn.IFNA(VLOOKUP($B10,SOP_Nuoc!$C:$H,3,FALSE),0)-100,0)</f>
        <v>-11.764705882352942</v>
      </c>
      <c r="Q10" s="63">
        <f>IFERROR(_xlfn.IFNA(VLOOKUP($B10,Dulieutho,ChiTiet!AH$2,FALSE),0)*3600*100/_xlfn.IFNA(VLOOKUP($B10,SOP_Banh!$C:$X,18,FALSE),0)-100,0)</f>
        <v>5.8823529411764639</v>
      </c>
      <c r="R10" s="61">
        <f>IFERROR(_xlfn.IFNA(VLOOKUP($B10,QuyDoi_DonVi!$C:$S,17,FALSE),0)*100/_xlfn.IFNA(VLOOKUP($B10,SOP_Banh!$C:$X,19,FALSE),0),0)-100</f>
        <v>-11.764705882352942</v>
      </c>
      <c r="S10" s="60">
        <f>_xlfn.IFNA(VLOOKUP($B10,SOP_Nuoc!$C:$W,19,FALSE),0)</f>
        <v>50</v>
      </c>
      <c r="T10" s="60">
        <f>IF(S10&lt;&gt;0,IFERROR(_xlfn.IFNA(VLOOKUP($B10,QuyDoi_DonVi!$C:$S,7,FALSE),0)*100/_xlfn.IFNA(VLOOKUP($B10,SOP_Nuoc!$C:$W,20,FALSE),0),0)-100,0)</f>
        <v>-34</v>
      </c>
      <c r="U10" s="60">
        <f>_xlfn.IFNA(VLOOKUP($B10,QuyDoi_DonVi!$C:$S,10,FALSE),0)</f>
        <v>36</v>
      </c>
      <c r="V10" s="60">
        <f>_xlfn.IFNA(VLOOKUP($B10,QuyDoi_DonVi!$C:$S,8,FALSE),0)</f>
        <v>21.5</v>
      </c>
      <c r="W10" s="60">
        <f>_xlfn.IFNA(VLOOKUP($B10,Dulieutho,ChiTiet!S$2,FALSE),0)</f>
        <v>60</v>
      </c>
    </row>
    <row r="11" spans="1:23" ht="15.6">
      <c r="A11" s="10" t="s">
        <v>97</v>
      </c>
      <c r="B11" s="9" t="s">
        <v>111</v>
      </c>
      <c r="C11" s="11" t="s">
        <v>112</v>
      </c>
      <c r="D11" s="62">
        <f>IFERROR(SUM(_xlfn.IFNA(VLOOKUP($B11,Dulieutho,ChiTiet!J$2,FALSE),0),_xlfn.IFNA(VLOOKUP($B11,Dulieutho,ChiTiet!K$2,FALSE),0),_xlfn.IFNA(VLOOKUP($B11,Dulieutho,ChiTiet!AK$2,FALSE),0),_xlfn.IFNA(VLOOKUP($B11,Dulieutho,ChiTiet!AL$2,FALSE),0))*100/_xlfn.IFNA(VLOOKUP($B11,SOP_Banh!$C:$X,7,FALSE),0),0)-100</f>
        <v>30.289532293986639</v>
      </c>
      <c r="E11" s="61">
        <f>IFERROR(_xlfn.IFNA(VLOOKUP($B11,QuyDoi_DonVi!$C:$S,12,FALSE),0)*100/_xlfn.IFNA(VLOOKUP($B11,SOP_Banh!$C:$X,8,FALSE),0),0)-100</f>
        <v>93.423597678916821</v>
      </c>
      <c r="F11" s="61">
        <f>IFERROR(_xlfn.IFNA(VLOOKUP($B11,QuyDoi_DonVi!$C:$S,13,FALSE),0)*100/_xlfn.IFNA(VLOOKUP($B11,SOP_Banh!$C:$X,9,FALSE),0),0)-100</f>
        <v>74.757281553398059</v>
      </c>
      <c r="G11" s="63">
        <f>IFERROR(_xlfn.IFNA(VLOOKUP($B11,Dulieutho,ChiTiet!Z$2,FALSE),0)*100/_xlfn.IFNA(VLOOKUP($B11,SOP_Banh!$C:$X,10,FALSE),0),0)-100</f>
        <v>42.222222222222229</v>
      </c>
      <c r="H11" s="61">
        <f>IFERROR(SUM(_xlfn.IFNA(VLOOKUP($B11,Dulieutho,ChiTiet!AB$2,FALSE),0),_xlfn.IFNA(VLOOKUP($B11,Dulieutho,ChiTiet!AC$2,FALSE),0))*100/_xlfn.IFNA(VLOOKUP($B11,SOP_Banh!$C:$X,20,FALSE),0)-100,0)</f>
        <v>-27.616926503340764</v>
      </c>
      <c r="I11" s="61">
        <f>IFERROR(_xlfn.IFNA(VLOOKUP($B11,Dulieutho,ChiTiet!AF$2,FALSE),0)*100/_xlfn.IFNA(VLOOKUP($B11,SOP_Banh!$C:$X,21,FALSE),0)-100,0)</f>
        <v>-26.470588235294116</v>
      </c>
      <c r="J11" s="61">
        <f>IFERROR(_xlfn.IFNA(VLOOKUP($B11,Dulieutho,ChiTiet!AD$2,FALSE),0)*100/_xlfn.IFNA(VLOOKUP($B11,SOP_Banh!$C:$X,22,FALSE),0)-100,0)</f>
        <v>-24.242424242424249</v>
      </c>
      <c r="K11" s="61">
        <f>IFERROR(_xlfn.IFNA(VLOOKUP($B11,QuyDoi_DonVi!$C:$S,3,FALSE),0)*100/_xlfn.IFNA(VLOOKUP($B11,SOP_Banh!$C:$X,12,FALSE),0),0)-100</f>
        <v>-24.242424242424249</v>
      </c>
      <c r="L11" s="61">
        <f>IFERROR(_xlfn.IFNA(VLOOKUP($B11,QuyDoi_DonVi!$C:$S,5,FALSE),0)*100/(_xlfn.IFNA(VLOOKUP($B11,SOP_Banh!$C:$X,13,FALSE),0)*16)-100,0)</f>
        <v>-51.515151515151516</v>
      </c>
      <c r="M11" s="61">
        <f>IFERROR(_xlfn.IFNA(VLOOKUP($B11,QuyDoi_DonVi!$C:$S,4,FALSE),0)*100/_xlfn.IFNA(VLOOKUP($B11,SOP_Banh!$C:$X,14,FALSE),0),0)-100</f>
        <v>203.030303030303</v>
      </c>
      <c r="N11" s="61">
        <f>IFERROR(_xlfn.IFNA(VLOOKUP($B11,Dulieutho,ChiTiet!L$2,FALSE),0)*100/_xlfn.IFNA(VLOOKUP($B11,SOP_Banh!$C:$X,15,FALSE),0),0)-100</f>
        <v>-11.764705882352942</v>
      </c>
      <c r="O11" s="61">
        <f>IFERROR(_xlfn.IFNA(VLOOKUP($B11,Dulieutho,ChiTiet!AJ$2,FALSE),0)*192*100/_xlfn.IFNA(VLOOKUP($B11,SOP_Banh!$C:$X,16,FALSE),0)-100,0)</f>
        <v>-17.667238421955403</v>
      </c>
      <c r="P11" s="61">
        <f>IFERROR(_xlfn.IFNA(VLOOKUP($B11,Dulieutho,ChiTiet!AG$2,FALSE),0)*100/_xlfn.IFNA(VLOOKUP($B11,SOP_Nuoc!$C:$H,3,FALSE),0)-100,0)</f>
        <v>-14.236706689536874</v>
      </c>
      <c r="Q11" s="63">
        <f>IFERROR(_xlfn.IFNA(VLOOKUP($B11,Dulieutho,ChiTiet!AH$2,FALSE),0)*3600*100/_xlfn.IFNA(VLOOKUP($B11,SOP_Banh!$C:$X,18,FALSE),0)-100,0)</f>
        <v>208.74785591766727</v>
      </c>
      <c r="R11" s="61">
        <f>IFERROR(_xlfn.IFNA(VLOOKUP($B11,QuyDoi_DonVi!$C:$S,17,FALSE),0)*100/_xlfn.IFNA(VLOOKUP($B11,SOP_Banh!$C:$X,19,FALSE),0),0)-100</f>
        <v>-14.236706689536874</v>
      </c>
      <c r="S11" s="60">
        <f>_xlfn.IFNA(VLOOKUP($B11,SOP_Nuoc!$C:$W,19,FALSE),0)</f>
        <v>0</v>
      </c>
      <c r="T11" s="60">
        <f>IF(S11&lt;&gt;0,IFERROR(_xlfn.IFNA(VLOOKUP($B11,QuyDoi_DonVi!$C:$S,7,FALSE),0)*100/_xlfn.IFNA(VLOOKUP($B11,SOP_Nuoc!$C:$W,20,FALSE),0),0)-100,0)</f>
        <v>0</v>
      </c>
      <c r="U11" s="60">
        <f>_xlfn.IFNA(VLOOKUP($B11,QuyDoi_DonVi!$C:$S,10,FALSE),0)</f>
        <v>0</v>
      </c>
      <c r="V11" s="60">
        <f>_xlfn.IFNA(VLOOKUP($B11,QuyDoi_DonVi!$C:$S,8,FALSE),0)</f>
        <v>8.5</v>
      </c>
      <c r="W11" s="60">
        <f>_xlfn.IFNA(VLOOKUP($B11,Dulieutho,ChiTiet!S$2,FALSE),0)</f>
        <v>24</v>
      </c>
    </row>
    <row r="12" spans="1:23" ht="15" customHeight="1">
      <c r="A12" s="10" t="s">
        <v>97</v>
      </c>
      <c r="B12" s="9" t="s">
        <v>113</v>
      </c>
      <c r="C12" s="11" t="s">
        <v>114</v>
      </c>
      <c r="D12" s="62">
        <f>IFERROR(SUM(_xlfn.IFNA(VLOOKUP($B12,Dulieutho,ChiTiet!J$2,FALSE),0),_xlfn.IFNA(VLOOKUP($B12,Dulieutho,ChiTiet!K$2,FALSE),0),_xlfn.IFNA(VLOOKUP($B12,Dulieutho,ChiTiet!AK$2,FALSE),0),_xlfn.IFNA(VLOOKUP($B12,Dulieutho,ChiTiet!AL$2,FALSE),0))*100/_xlfn.IFNA(VLOOKUP($B12,SOP_Banh!$C:$X,7,FALSE),0),0)-100</f>
        <v>-100</v>
      </c>
      <c r="E12" s="61">
        <f>IFERROR(_xlfn.IFNA(VLOOKUP($B12,QuyDoi_DonVi!$C:$S,12,FALSE),0)*100/_xlfn.IFNA(VLOOKUP($B12,SOP_Banh!$C:$X,8,FALSE),0),0)-100</f>
        <v>96.078431372549034</v>
      </c>
      <c r="F12" s="61">
        <f>IFERROR(_xlfn.IFNA(VLOOKUP($B12,QuyDoi_DonVi!$C:$S,13,FALSE),0)*100/_xlfn.IFNA(VLOOKUP($B12,SOP_Banh!$C:$X,9,FALSE),0),0)-100</f>
        <v>41.612200435729847</v>
      </c>
      <c r="G12" s="63">
        <f>IFERROR(_xlfn.IFNA(VLOOKUP($B12,Dulieutho,ChiTiet!Z$2,FALSE),0)*100/_xlfn.IFNA(VLOOKUP($B12,SOP_Banh!$C:$X,10,FALSE),0),0)-100</f>
        <v>-100</v>
      </c>
      <c r="H12" s="61">
        <f>IFERROR(SUM(_xlfn.IFNA(VLOOKUP($B12,Dulieutho,ChiTiet!AB$2,FALSE),0),_xlfn.IFNA(VLOOKUP($B12,Dulieutho,ChiTiet!AC$2,FALSE),0))*100/_xlfn.IFNA(VLOOKUP($B12,SOP_Banh!$C:$X,20,FALSE),0)-100,0)</f>
        <v>-76.01918465227817</v>
      </c>
      <c r="I12" s="61">
        <f>IFERROR(_xlfn.IFNA(VLOOKUP($B12,Dulieutho,ChiTiet!AF$2,FALSE),0)*100/_xlfn.IFNA(VLOOKUP($B12,SOP_Banh!$C:$X,21,FALSE),0)-100,0)</f>
        <v>19.047619047619051</v>
      </c>
      <c r="J12" s="61">
        <f>IFERROR(_xlfn.IFNA(VLOOKUP($B12,Dulieutho,ChiTiet!AD$2,FALSE),0)*100/_xlfn.IFNA(VLOOKUP($B12,SOP_Banh!$C:$X,22,FALSE),0)-100,0)</f>
        <v>-40.476190476190474</v>
      </c>
      <c r="K12" s="61">
        <f>IFERROR(_xlfn.IFNA(VLOOKUP($B12,QuyDoi_DonVi!$C:$S,3,FALSE),0)*100/_xlfn.IFNA(VLOOKUP($B12,SOP_Banh!$C:$X,12,FALSE),0),0)-100</f>
        <v>78.571428571428584</v>
      </c>
      <c r="L12" s="61">
        <f>IFERROR(_xlfn.IFNA(VLOOKUP($B12,QuyDoi_DonVi!$C:$S,5,FALSE),0)*100/(_xlfn.IFNA(VLOOKUP($B12,SOP_Banh!$C:$X,13,FALSE),0)*16)-100,0)</f>
        <v>-61.904761904761905</v>
      </c>
      <c r="M12" s="61">
        <f>IFERROR(_xlfn.IFNA(VLOOKUP($B12,QuyDoi_DonVi!$C:$S,4,FALSE),0)*100/_xlfn.IFNA(VLOOKUP($B12,SOP_Banh!$C:$X,14,FALSE),0),0)-100</f>
        <v>19.047619047619051</v>
      </c>
      <c r="N12" s="61">
        <f>IFERROR(_xlfn.IFNA(VLOOKUP($B12,Dulieutho,ChiTiet!L$2,FALSE),0)*100/_xlfn.IFNA(VLOOKUP($B12,SOP_Banh!$C:$X,15,FALSE),0),0)-100</f>
        <v>-100</v>
      </c>
      <c r="O12" s="61">
        <f>IFERROR(_xlfn.IFNA(VLOOKUP($B12,Dulieutho,ChiTiet!AJ$2,FALSE),0)*192*100/_xlfn.IFNA(VLOOKUP($B12,SOP_Banh!$C:$X,16,FALSE),0)-100,0)</f>
        <v>-23.35329341317366</v>
      </c>
      <c r="P12" s="61">
        <f>IFERROR(_xlfn.IFNA(VLOOKUP($B12,Dulieutho,ChiTiet!AG$2,FALSE),0)*100/_xlfn.IFNA(VLOOKUP($B12,SOP_Nuoc!$C:$H,3,FALSE),0)-100,0)</f>
        <v>-0.19960079840319622</v>
      </c>
      <c r="Q12" s="63">
        <f>IFERROR(_xlfn.IFNA(VLOOKUP($B12,Dulieutho,ChiTiet!AH$2,FALSE),0)*3600*100/_xlfn.IFNA(VLOOKUP($B12,SOP_Banh!$C:$X,18,FALSE),0)-100,0)</f>
        <v>79.640718562874241</v>
      </c>
      <c r="R12" s="61">
        <f>IFERROR(_xlfn.IFNA(VLOOKUP($B12,QuyDoi_DonVi!$C:$S,17,FALSE),0)*100/_xlfn.IFNA(VLOOKUP($B12,SOP_Banh!$C:$X,19,FALSE),0),0)-100</f>
        <v>-0.19960079840319622</v>
      </c>
      <c r="S12" s="60">
        <f>_xlfn.IFNA(VLOOKUP($B12,SOP_Nuoc!$C:$W,19,FALSE),0)</f>
        <v>0</v>
      </c>
      <c r="T12" s="60">
        <f>IF(S12&lt;&gt;0,IFERROR(_xlfn.IFNA(VLOOKUP($B12,QuyDoi_DonVi!$C:$S,7,FALSE),0)*100/_xlfn.IFNA(VLOOKUP($B12,SOP_Nuoc!$C:$W,20,FALSE),0),0)-100,0)</f>
        <v>0</v>
      </c>
      <c r="U12" s="60">
        <f>_xlfn.IFNA(VLOOKUP($B12,QuyDoi_DonVi!$C:$S,10,FALSE),0)</f>
        <v>24</v>
      </c>
      <c r="V12" s="60">
        <f>_xlfn.IFNA(VLOOKUP($B12,QuyDoi_DonVi!$C:$S,8,FALSE),0)</f>
        <v>8</v>
      </c>
      <c r="W12" s="60">
        <f>_xlfn.IFNA(VLOOKUP($B12,Dulieutho,ChiTiet!S$2,FALSE),0)</f>
        <v>48</v>
      </c>
    </row>
    <row r="13" spans="1:23" ht="15.6">
      <c r="A13" s="10" t="s">
        <v>97</v>
      </c>
      <c r="B13" s="9" t="s">
        <v>115</v>
      </c>
      <c r="C13" s="11" t="s">
        <v>116</v>
      </c>
      <c r="D13" s="62">
        <f>IFERROR(SUM(_xlfn.IFNA(VLOOKUP($B13,Dulieutho,ChiTiet!J$2,FALSE),0),_xlfn.IFNA(VLOOKUP($B13,Dulieutho,ChiTiet!K$2,FALSE),0),_xlfn.IFNA(VLOOKUP($B13,Dulieutho,ChiTiet!AK$2,FALSE),0),_xlfn.IFNA(VLOOKUP($B13,Dulieutho,ChiTiet!AL$2,FALSE),0))*100/_xlfn.IFNA(VLOOKUP($B13,SOP_Banh!$C:$X,7,FALSE),0),0)-100</f>
        <v>19.840213049267646</v>
      </c>
      <c r="E13" s="61">
        <f>IFERROR(_xlfn.IFNA(VLOOKUP($B13,QuyDoi_DonVi!$C:$S,12,FALSE),0)*100/_xlfn.IFNA(VLOOKUP($B13,SOP_Banh!$C:$X,8,FALSE),0),0)-100</f>
        <v>69.696969696969688</v>
      </c>
      <c r="F13" s="61">
        <f>IFERROR(_xlfn.IFNA(VLOOKUP($B13,QuyDoi_DonVi!$C:$S,13,FALSE),0)*100/_xlfn.IFNA(VLOOKUP($B13,SOP_Banh!$C:$X,9,FALSE),0),0)-100</f>
        <v>42.687277051129598</v>
      </c>
      <c r="G13" s="63">
        <f>IFERROR(_xlfn.IFNA(VLOOKUP($B13,Dulieutho,ChiTiet!Z$2,FALSE),0)*100/_xlfn.IFNA(VLOOKUP($B13,SOP_Banh!$C:$X,10,FALSE),0),0)-100</f>
        <v>236.84210526315792</v>
      </c>
      <c r="H13" s="61">
        <f>IFERROR(SUM(_xlfn.IFNA(VLOOKUP($B13,Dulieutho,ChiTiet!AB$2,FALSE),0),_xlfn.IFNA(VLOOKUP($B13,Dulieutho,ChiTiet!AC$2,FALSE),0))*100/_xlfn.IFNA(VLOOKUP($B13,SOP_Banh!$C:$X,20,FALSE),0)-100,0)</f>
        <v>-100</v>
      </c>
      <c r="I13" s="61">
        <f>IFERROR(_xlfn.IFNA(VLOOKUP($B13,Dulieutho,ChiTiet!AF$2,FALSE),0)*100/_xlfn.IFNA(VLOOKUP($B13,SOP_Banh!$C:$X,21,FALSE),0)-100,0)</f>
        <v>35.13513513513513</v>
      </c>
      <c r="J13" s="61">
        <f>IFERROR(_xlfn.IFNA(VLOOKUP($B13,Dulieutho,ChiTiet!AD$2,FALSE),0)*100/_xlfn.IFNA(VLOOKUP($B13,SOP_Banh!$C:$X,22,FALSE),0)-100,0)</f>
        <v>11.111111111111114</v>
      </c>
      <c r="K13" s="61">
        <f>IFERROR(_xlfn.IFNA(VLOOKUP($B13,QuyDoi_DonVi!$C:$S,3,FALSE),0)*100/_xlfn.IFNA(VLOOKUP($B13,SOP_Banh!$C:$X,12,FALSE),0),0)-100</f>
        <v>66.666666666666657</v>
      </c>
      <c r="L13" s="61">
        <f>IFERROR(_xlfn.IFNA(VLOOKUP($B13,QuyDoi_DonVi!$C:$S,5,FALSE),0)*100/(_xlfn.IFNA(VLOOKUP($B13,SOP_Banh!$C:$X,13,FALSE),0)*16)-100,0)</f>
        <v>-46.666666666666664</v>
      </c>
      <c r="M13" s="61">
        <f>IFERROR(_xlfn.IFNA(VLOOKUP($B13,QuyDoi_DonVi!$C:$S,4,FALSE),0)*100/_xlfn.IFNA(VLOOKUP($B13,SOP_Banh!$C:$X,14,FALSE),0),0)-100</f>
        <v>11.111111111111114</v>
      </c>
      <c r="N13" s="61">
        <f>IFERROR(_xlfn.IFNA(VLOOKUP($B13,Dulieutho,ChiTiet!L$2,FALSE),0)*100/_xlfn.IFNA(VLOOKUP($B13,SOP_Banh!$C:$X,15,FALSE),0),0)-100</f>
        <v>55.405405405405418</v>
      </c>
      <c r="O13" s="61">
        <f>IFERROR(_xlfn.IFNA(VLOOKUP($B13,Dulieutho,ChiTiet!AJ$2,FALSE),0)*192*100/_xlfn.IFNA(VLOOKUP($B13,SOP_Banh!$C:$X,16,FALSE),0)-100,0)</f>
        <v>-5.5737704918032733</v>
      </c>
      <c r="P13" s="61">
        <f>IFERROR(_xlfn.IFNA(VLOOKUP($B13,Dulieutho,ChiTiet!AG$2,FALSE),0)*100/_xlfn.IFNA(VLOOKUP($B13,SOP_Nuoc!$C:$H,3,FALSE),0)-100,0)</f>
        <v>9.2896174863387984</v>
      </c>
      <c r="Q13" s="63">
        <f>IFERROR(_xlfn.IFNA(VLOOKUP($B13,Dulieutho,ChiTiet!AH$2,FALSE),0)*3600*100/_xlfn.IFNA(VLOOKUP($B13,SOP_Banh!$C:$X,18,FALSE),0)-100,0)</f>
        <v>96.721311475409834</v>
      </c>
      <c r="R13" s="61">
        <f>IFERROR(_xlfn.IFNA(VLOOKUP($B13,QuyDoi_DonVi!$C:$S,17,FALSE),0)*100/_xlfn.IFNA(VLOOKUP($B13,SOP_Banh!$C:$X,19,FALSE),0),0)-100</f>
        <v>22.950819672131146</v>
      </c>
      <c r="S13" s="60">
        <f>_xlfn.IFNA(VLOOKUP($B13,SOP_Nuoc!$C:$W,19,FALSE),0)</f>
        <v>25</v>
      </c>
      <c r="T13" s="60">
        <f>IF(S13&lt;&gt;0,IFERROR(_xlfn.IFNA(VLOOKUP($B13,QuyDoi_DonVi!$C:$S,7,FALSE),0)*100/_xlfn.IFNA(VLOOKUP($B13,SOP_Nuoc!$C:$W,20,FALSE),0),0)-100,0)</f>
        <v>-56.000000000000007</v>
      </c>
      <c r="U13" s="60">
        <f>_xlfn.IFNA(VLOOKUP($B13,QuyDoi_DonVi!$C:$S,10,FALSE),0)</f>
        <v>24</v>
      </c>
      <c r="V13" s="60">
        <f>_xlfn.IFNA(VLOOKUP($B13,QuyDoi_DonVi!$C:$S,8,FALSE),0)</f>
        <v>3</v>
      </c>
      <c r="W13" s="60">
        <f>_xlfn.IFNA(VLOOKUP($B13,Dulieutho,ChiTiet!S$2,FALSE),0)</f>
        <v>48</v>
      </c>
    </row>
    <row r="14" spans="1:23" ht="15.6">
      <c r="A14" s="10" t="s">
        <v>97</v>
      </c>
      <c r="B14" s="9" t="s">
        <v>117</v>
      </c>
      <c r="C14" s="11" t="s">
        <v>118</v>
      </c>
      <c r="D14" s="62">
        <f>IFERROR(SUM(_xlfn.IFNA(VLOOKUP($B14,Dulieutho,ChiTiet!J$2,FALSE),0),_xlfn.IFNA(VLOOKUP($B14,Dulieutho,ChiTiet!K$2,FALSE),0),_xlfn.IFNA(VLOOKUP($B14,Dulieutho,ChiTiet!AK$2,FALSE),0),_xlfn.IFNA(VLOOKUP($B14,Dulieutho,ChiTiet!AL$2,FALSE),0))*100/_xlfn.IFNA(VLOOKUP($B14,SOP_Banh!$C:$X,7,FALSE),0),0)-100</f>
        <v>-4.8076923076923066</v>
      </c>
      <c r="E14" s="61">
        <f>IFERROR(_xlfn.IFNA(VLOOKUP($B14,QuyDoi_DonVi!$C:$S,12,FALSE),0)*100/_xlfn.IFNA(VLOOKUP($B14,SOP_Banh!$C:$X,8,FALSE),0),0)-100</f>
        <v>33.333333333333343</v>
      </c>
      <c r="F14" s="61">
        <f>IFERROR(_xlfn.IFNA(VLOOKUP($B14,QuyDoi_DonVi!$C:$S,13,FALSE),0)*100/_xlfn.IFNA(VLOOKUP($B14,SOP_Banh!$C:$X,9,FALSE),0),0)-100</f>
        <v>121.8430034129693</v>
      </c>
      <c r="G14" s="63">
        <f>IFERROR(_xlfn.IFNA(VLOOKUP($B14,Dulieutho,ChiTiet!Z$2,FALSE),0)*100/_xlfn.IFNA(VLOOKUP($B14,SOP_Banh!$C:$X,10,FALSE),0),0)-100</f>
        <v>-49.206349206349209</v>
      </c>
      <c r="H14" s="61">
        <f>IFERROR(SUM(_xlfn.IFNA(VLOOKUP($B14,Dulieutho,ChiTiet!AB$2,FALSE),0),_xlfn.IFNA(VLOOKUP($B14,Dulieutho,ChiTiet!AC$2,FALSE),0))*100/_xlfn.IFNA(VLOOKUP($B14,SOP_Banh!$C:$X,20,FALSE),0)-100,0)</f>
        <v>-56.730769230769234</v>
      </c>
      <c r="I14" s="61">
        <f>IFERROR(_xlfn.IFNA(VLOOKUP($B14,Dulieutho,ChiTiet!AF$2,FALSE),0)*100/_xlfn.IFNA(VLOOKUP($B14,SOP_Banh!$C:$X,21,FALSE),0)-100,0)</f>
        <v>25</v>
      </c>
      <c r="J14" s="61">
        <f>IFERROR(_xlfn.IFNA(VLOOKUP($B14,Dulieutho,ChiTiet!AD$2,FALSE),0)*100/_xlfn.IFNA(VLOOKUP($B14,SOP_Banh!$C:$X,22,FALSE),0)-100,0)</f>
        <v>-24.242424242424249</v>
      </c>
      <c r="K14" s="61">
        <f>IFERROR(_xlfn.IFNA(VLOOKUP($B14,QuyDoi_DonVi!$C:$S,3,FALSE),0)*100/_xlfn.IFNA(VLOOKUP($B14,SOP_Banh!$C:$X,12,FALSE),0),0)-100</f>
        <v>-24.242424242424249</v>
      </c>
      <c r="L14" s="61">
        <f>IFERROR(_xlfn.IFNA(VLOOKUP($B14,QuyDoi_DonVi!$C:$S,5,FALSE),0)*100/(_xlfn.IFNA(VLOOKUP($B14,SOP_Banh!$C:$X,13,FALSE),0)*16)-100,0)</f>
        <v>-75.757575757575751</v>
      </c>
      <c r="M14" s="61">
        <f>IFERROR(_xlfn.IFNA(VLOOKUP($B14,QuyDoi_DonVi!$C:$S,4,FALSE),0)*100/_xlfn.IFNA(VLOOKUP($B14,SOP_Banh!$C:$X,14,FALSE),0),0)-100</f>
        <v>51.515151515151501</v>
      </c>
      <c r="N14" s="61">
        <f>IFERROR(_xlfn.IFNA(VLOOKUP($B14,Dulieutho,ChiTiet!L$2,FALSE),0)*100/_xlfn.IFNA(VLOOKUP($B14,SOP_Banh!$C:$X,15,FALSE),0),0)-100</f>
        <v>0</v>
      </c>
      <c r="O14" s="61">
        <f>IFERROR(_xlfn.IFNA(VLOOKUP($B14,Dulieutho,ChiTiet!AJ$2,FALSE),0)*192*100/_xlfn.IFNA(VLOOKUP($B14,SOP_Banh!$C:$X,16,FALSE),0)-100,0)</f>
        <v>-27.927927927927925</v>
      </c>
      <c r="P14" s="61">
        <f>IFERROR(_xlfn.IFNA(VLOOKUP($B14,Dulieutho,ChiTiet!AG$2,FALSE),0)*100/_xlfn.IFNA(VLOOKUP($B14,SOP_Nuoc!$C:$H,3,FALSE),0)-100,0)</f>
        <v>-24.924924924924923</v>
      </c>
      <c r="Q14" s="63">
        <f>IFERROR(_xlfn.IFNA(VLOOKUP($B14,Dulieutho,ChiTiet!AH$2,FALSE),0)*3600*100/_xlfn.IFNA(VLOOKUP($B14,SOP_Banh!$C:$X,18,FALSE),0)-100,0)</f>
        <v>170.27027027027026</v>
      </c>
      <c r="R14" s="61">
        <f>IFERROR(_xlfn.IFNA(VLOOKUP($B14,QuyDoi_DonVi!$C:$S,17,FALSE),0)*100/_xlfn.IFNA(VLOOKUP($B14,SOP_Banh!$C:$X,19,FALSE),0),0)-100</f>
        <v>-24.924924924924923</v>
      </c>
      <c r="S14" s="60">
        <f>_xlfn.IFNA(VLOOKUP($B14,SOP_Nuoc!$C:$W,19,FALSE),0)</f>
        <v>0</v>
      </c>
      <c r="T14" s="60">
        <f>IF(S14&lt;&gt;0,IFERROR(_xlfn.IFNA(VLOOKUP($B14,QuyDoi_DonVi!$C:$S,7,FALSE),0)*100/_xlfn.IFNA(VLOOKUP($B14,SOP_Nuoc!$C:$W,20,FALSE),0),0)-100,0)</f>
        <v>0</v>
      </c>
      <c r="U14" s="60">
        <f>_xlfn.IFNA(VLOOKUP($B14,QuyDoi_DonVi!$C:$S,10,FALSE),0)</f>
        <v>12</v>
      </c>
      <c r="V14" s="60">
        <f>_xlfn.IFNA(VLOOKUP($B14,QuyDoi_DonVi!$C:$S,8,FALSE),0)</f>
        <v>4</v>
      </c>
      <c r="W14" s="60">
        <f>_xlfn.IFNA(VLOOKUP($B14,Dulieutho,ChiTiet!S$2,FALSE),0)</f>
        <v>48</v>
      </c>
    </row>
    <row r="15" spans="1:23" ht="15.6">
      <c r="A15" s="10" t="s">
        <v>97</v>
      </c>
      <c r="B15" s="9" t="s">
        <v>119</v>
      </c>
      <c r="C15" s="11" t="s">
        <v>120</v>
      </c>
      <c r="D15" s="62">
        <f>IFERROR(SUM(_xlfn.IFNA(VLOOKUP($B15,Dulieutho,ChiTiet!J$2,FALSE),0),_xlfn.IFNA(VLOOKUP($B15,Dulieutho,ChiTiet!K$2,FALSE),0),_xlfn.IFNA(VLOOKUP($B15,Dulieutho,ChiTiet!AK$2,FALSE),0),_xlfn.IFNA(VLOOKUP($B15,Dulieutho,ChiTiet!AL$2,FALSE),0))*100/_xlfn.IFNA(VLOOKUP($B15,SOP_Banh!$C:$X,7,FALSE),0),0)-100</f>
        <v>-0.7692307692307736</v>
      </c>
      <c r="E15" s="61">
        <f>IFERROR(_xlfn.IFNA(VLOOKUP($B15,QuyDoi_DonVi!$C:$S,12,FALSE),0)*100/_xlfn.IFNA(VLOOKUP($B15,SOP_Banh!$C:$X,8,FALSE),0),0)-100</f>
        <v>55.844155844155836</v>
      </c>
      <c r="F15" s="61">
        <f>IFERROR(_xlfn.IFNA(VLOOKUP($B15,QuyDoi_DonVi!$C:$S,13,FALSE),0)*100/_xlfn.IFNA(VLOOKUP($B15,SOP_Banh!$C:$X,9,FALSE),0),0)-100</f>
        <v>26.903553299492387</v>
      </c>
      <c r="G15" s="63">
        <f>IFERROR(_xlfn.IFNA(VLOOKUP($B15,Dulieutho,ChiTiet!Z$2,FALSE),0)*100/_xlfn.IFNA(VLOOKUP($B15,SOP_Banh!$C:$X,10,FALSE),0),0)-100</f>
        <v>177.33333333333331</v>
      </c>
      <c r="H15" s="61">
        <f>IFERROR(SUM(_xlfn.IFNA(VLOOKUP($B15,Dulieutho,ChiTiet!AB$2,FALSE),0),_xlfn.IFNA(VLOOKUP($B15,Dulieutho,ChiTiet!AC$2,FALSE),0))*100/_xlfn.IFNA(VLOOKUP($B15,SOP_Banh!$C:$X,20,FALSE),0)-100,0)</f>
        <v>-53.846153846153847</v>
      </c>
      <c r="I15" s="61">
        <f>IFERROR(_xlfn.IFNA(VLOOKUP($B15,Dulieutho,ChiTiet!AF$2,FALSE),0)*100/_xlfn.IFNA(VLOOKUP($B15,SOP_Banh!$C:$X,21,FALSE),0)-100,0)</f>
        <v>-16.666666666666671</v>
      </c>
      <c r="J15" s="61">
        <f>IFERROR(_xlfn.IFNA(VLOOKUP($B15,Dulieutho,ChiTiet!AD$2,FALSE),0)*100/_xlfn.IFNA(VLOOKUP($B15,SOP_Banh!$C:$X,22,FALSE),0)-100,0)</f>
        <v>8.6956521739130466</v>
      </c>
      <c r="K15" s="61">
        <f>IFERROR(_xlfn.IFNA(VLOOKUP($B15,QuyDoi_DonVi!$C:$S,3,FALSE),0)*100/_xlfn.IFNA(VLOOKUP($B15,SOP_Banh!$C:$X,12,FALSE),0),0)-100</f>
        <v>44.927536231884062</v>
      </c>
      <c r="L15" s="61">
        <f>IFERROR(_xlfn.IFNA(VLOOKUP($B15,QuyDoi_DonVi!$C:$S,5,FALSE),0)*100/(_xlfn.IFNA(VLOOKUP($B15,SOP_Banh!$C:$X,13,FALSE),0)*16)-100,0)</f>
        <v>-7.2463768115942031</v>
      </c>
      <c r="M15" s="61">
        <f>IFERROR(_xlfn.IFNA(VLOOKUP($B15,QuyDoi_DonVi!$C:$S,4,FALSE),0)*100/_xlfn.IFNA(VLOOKUP($B15,SOP_Banh!$C:$X,14,FALSE),0),0)-100</f>
        <v>-27.536231884057969</v>
      </c>
      <c r="N15" s="61">
        <f>IFERROR(_xlfn.IFNA(VLOOKUP($B15,Dulieutho,ChiTiet!L$2,FALSE),0)*100/_xlfn.IFNA(VLOOKUP($B15,SOP_Banh!$C:$X,15,FALSE),0),0)-100</f>
        <v>8.3333333333333286</v>
      </c>
      <c r="O15" s="61">
        <f>IFERROR(_xlfn.IFNA(VLOOKUP($B15,Dulieutho,ChiTiet!AJ$2,FALSE),0)*192*100/_xlfn.IFNA(VLOOKUP($B15,SOP_Banh!$C:$X,16,FALSE),0)-100,0)</f>
        <v>-15.418502202643168</v>
      </c>
      <c r="P15" s="61">
        <f>IFERROR(_xlfn.IFNA(VLOOKUP($B15,Dulieutho,ChiTiet!AG$2,FALSE),0)*100/_xlfn.IFNA(VLOOKUP($B15,SOP_Nuoc!$C:$H,3,FALSE),0)-100,0)</f>
        <v>-44.933920704845818</v>
      </c>
      <c r="Q15" s="63">
        <f>IFERROR(_xlfn.IFNA(VLOOKUP($B15,Dulieutho,ChiTiet!AH$2,FALSE),0)*3600*100/_xlfn.IFNA(VLOOKUP($B15,SOP_Banh!$C:$X,18,FALSE),0)-100,0)</f>
        <v>-100</v>
      </c>
      <c r="R15" s="61">
        <f>IFERROR(_xlfn.IFNA(VLOOKUP($B15,QuyDoi_DonVi!$C:$S,17,FALSE),0)*100/_xlfn.IFNA(VLOOKUP($B15,SOP_Banh!$C:$X,19,FALSE),0),0)-100</f>
        <v>-44.933920704845818</v>
      </c>
      <c r="S15" s="60">
        <f>_xlfn.IFNA(VLOOKUP($B15,SOP_Nuoc!$C:$W,19,FALSE),0)</f>
        <v>0</v>
      </c>
      <c r="T15" s="60">
        <f>IF(S15&lt;&gt;0,IFERROR(_xlfn.IFNA(VLOOKUP($B15,QuyDoi_DonVi!$C:$S,7,FALSE),0)*100/_xlfn.IFNA(VLOOKUP($B15,SOP_Nuoc!$C:$W,20,FALSE),0),0)-100,0)</f>
        <v>0</v>
      </c>
      <c r="U15" s="60">
        <f>_xlfn.IFNA(VLOOKUP($B15,QuyDoi_DonVi!$C:$S,10,FALSE),0)</f>
        <v>24</v>
      </c>
      <c r="V15" s="60">
        <f>_xlfn.IFNA(VLOOKUP($B15,QuyDoi_DonVi!$C:$S,8,FALSE),0)</f>
        <v>9</v>
      </c>
      <c r="W15" s="60">
        <f>_xlfn.IFNA(VLOOKUP($B15,Dulieutho,ChiTiet!S$2,FALSE),0)</f>
        <v>60</v>
      </c>
    </row>
    <row r="16" spans="1:23" ht="15.6">
      <c r="A16" s="10" t="s">
        <v>97</v>
      </c>
      <c r="B16" s="9" t="s">
        <v>121</v>
      </c>
      <c r="C16" s="11" t="s">
        <v>122</v>
      </c>
      <c r="D16" s="62">
        <f>IFERROR(SUM(_xlfn.IFNA(VLOOKUP($B16,Dulieutho,ChiTiet!J$2,FALSE),0),_xlfn.IFNA(VLOOKUP($B16,Dulieutho,ChiTiet!K$2,FALSE),0),_xlfn.IFNA(VLOOKUP($B16,Dulieutho,ChiTiet!AK$2,FALSE),0),_xlfn.IFNA(VLOOKUP($B16,Dulieutho,ChiTiet!AL$2,FALSE),0))*100/_xlfn.IFNA(VLOOKUP($B16,SOP_Banh!$C:$X,7,FALSE),0),0)-100</f>
        <v>-10.526315789473685</v>
      </c>
      <c r="E16" s="61">
        <f>IFERROR(_xlfn.IFNA(VLOOKUP($B16,QuyDoi_DonVi!$C:$S,12,FALSE),0)*100/_xlfn.IFNA(VLOOKUP($B16,SOP_Banh!$C:$X,8,FALSE),0),0)-100</f>
        <v>-37.106918238993714</v>
      </c>
      <c r="F16" s="61">
        <f>IFERROR(_xlfn.IFNA(VLOOKUP($B16,QuyDoi_DonVi!$C:$S,13,FALSE),0)*100/_xlfn.IFNA(VLOOKUP($B16,SOP_Banh!$C:$X,9,FALSE),0),0)-100</f>
        <v>-100</v>
      </c>
      <c r="G16" s="63">
        <f>IFERROR(_xlfn.IFNA(VLOOKUP($B16,Dulieutho,ChiTiet!Z$2,FALSE),0)*100/_xlfn.IFNA(VLOOKUP($B16,SOP_Banh!$C:$X,10,FALSE),0),0)-100</f>
        <v>-75.757575757575751</v>
      </c>
      <c r="H16" s="61">
        <f>IFERROR(SUM(_xlfn.IFNA(VLOOKUP($B16,Dulieutho,ChiTiet!AB$2,FALSE),0),_xlfn.IFNA(VLOOKUP($B16,Dulieutho,ChiTiet!AC$2,FALSE),0))*100/_xlfn.IFNA(VLOOKUP($B16,SOP_Banh!$C:$X,20,FALSE),0)-100,0)</f>
        <v>-86.84210526315789</v>
      </c>
      <c r="I16" s="61">
        <f>IFERROR(_xlfn.IFNA(VLOOKUP($B16,Dulieutho,ChiTiet!AF$2,FALSE),0)*100/_xlfn.IFNA(VLOOKUP($B16,SOP_Banh!$C:$X,21,FALSE),0)-100,0)</f>
        <v>-24.242424242424249</v>
      </c>
      <c r="J16" s="61">
        <f>IFERROR(_xlfn.IFNA(VLOOKUP($B16,Dulieutho,ChiTiet!AD$2,FALSE),0)*100/_xlfn.IFNA(VLOOKUP($B16,SOP_Banh!$C:$X,22,FALSE),0)-100,0)</f>
        <v>-100</v>
      </c>
      <c r="K16" s="61">
        <f>IFERROR(_xlfn.IFNA(VLOOKUP($B16,QuyDoi_DonVi!$C:$S,3,FALSE),0)*100/_xlfn.IFNA(VLOOKUP($B16,SOP_Banh!$C:$X,12,FALSE),0),0)-100</f>
        <v>-100</v>
      </c>
      <c r="L16" s="61">
        <f>IFERROR(_xlfn.IFNA(VLOOKUP($B16,QuyDoi_DonVi!$C:$S,5,FALSE),0)*100/(_xlfn.IFNA(VLOOKUP($B16,SOP_Banh!$C:$X,13,FALSE),0)*16)-100,0)</f>
        <v>-100</v>
      </c>
      <c r="M16" s="61">
        <f>IFERROR(_xlfn.IFNA(VLOOKUP($B16,QuyDoi_DonVi!$C:$S,4,FALSE),0)*100/_xlfn.IFNA(VLOOKUP($B16,SOP_Banh!$C:$X,14,FALSE),0),0)-100</f>
        <v>-100</v>
      </c>
      <c r="N16" s="61">
        <f>IFERROR(_xlfn.IFNA(VLOOKUP($B16,Dulieutho,ChiTiet!L$2,FALSE),0)*100/_xlfn.IFNA(VLOOKUP($B16,SOP_Banh!$C:$X,15,FALSE),0),0)-100</f>
        <v>-16.666666666666671</v>
      </c>
      <c r="O16" s="61">
        <f>IFERROR(_xlfn.IFNA(VLOOKUP($B16,Dulieutho,ChiTiet!AJ$2,FALSE),0)*192*100/_xlfn.IFNA(VLOOKUP($B16,SOP_Banh!$C:$X,16,FALSE),0)-100,0)</f>
        <v>-70.642201834862391</v>
      </c>
      <c r="P16" s="61">
        <f>IFERROR(_xlfn.IFNA(VLOOKUP($B16,Dulieutho,ChiTiet!AG$2,FALSE),0)*100/_xlfn.IFNA(VLOOKUP($B16,SOP_Nuoc!$C:$H,3,FALSE),0)-100,0)</f>
        <v>-100</v>
      </c>
      <c r="Q16" s="63">
        <f>IFERROR(_xlfn.IFNA(VLOOKUP($B16,Dulieutho,ChiTiet!AH$2,FALSE),0)*3600*100/_xlfn.IFNA(VLOOKUP($B16,SOP_Banh!$C:$X,18,FALSE),0)-100,0)</f>
        <v>-100</v>
      </c>
      <c r="R16" s="61">
        <f>IFERROR(_xlfn.IFNA(VLOOKUP($B16,QuyDoi_DonVi!$C:$S,17,FALSE),0)*100/_xlfn.IFNA(VLOOKUP($B16,SOP_Banh!$C:$X,19,FALSE),0),0)-100</f>
        <v>-100</v>
      </c>
      <c r="S16" s="60">
        <f>_xlfn.IFNA(VLOOKUP($B16,SOP_Nuoc!$C:$W,19,FALSE),0)</f>
        <v>25</v>
      </c>
      <c r="T16" s="60">
        <f>IF(S16&lt;&gt;0,IFERROR(_xlfn.IFNA(VLOOKUP($B16,QuyDoi_DonVi!$C:$S,7,FALSE),0)*100/_xlfn.IFNA(VLOOKUP($B16,SOP_Nuoc!$C:$W,20,FALSE),0),0)-100,0)</f>
        <v>-100</v>
      </c>
      <c r="U16" s="60">
        <f>_xlfn.IFNA(VLOOKUP($B16,QuyDoi_DonVi!$C:$S,10,FALSE),0)</f>
        <v>12</v>
      </c>
      <c r="V16" s="60">
        <f>_xlfn.IFNA(VLOOKUP($B16,QuyDoi_DonVi!$C:$S,8,FALSE),0)</f>
        <v>4</v>
      </c>
      <c r="W16" s="60">
        <f>_xlfn.IFNA(VLOOKUP($B16,Dulieutho,ChiTiet!S$2,FALSE),0)</f>
        <v>0</v>
      </c>
    </row>
    <row r="17" spans="1:23" ht="15.6">
      <c r="A17" s="10" t="s">
        <v>97</v>
      </c>
      <c r="B17" s="9" t="s">
        <v>123</v>
      </c>
      <c r="C17" s="11" t="s">
        <v>124</v>
      </c>
      <c r="D17" s="62">
        <f>IFERROR(SUM(_xlfn.IFNA(VLOOKUP($B17,Dulieutho,ChiTiet!J$2,FALSE),0),_xlfn.IFNA(VLOOKUP($B17,Dulieutho,ChiTiet!K$2,FALSE),0),_xlfn.IFNA(VLOOKUP($B17,Dulieutho,ChiTiet!AK$2,FALSE),0),_xlfn.IFNA(VLOOKUP($B17,Dulieutho,ChiTiet!AL$2,FALSE),0))*100/_xlfn.IFNA(VLOOKUP($B17,SOP_Banh!$C:$X,7,FALSE),0),0)-100</f>
        <v>-7.1782178217821837</v>
      </c>
      <c r="E17" s="61">
        <f>IFERROR(_xlfn.IFNA(VLOOKUP($B17,QuyDoi_DonVi!$C:$S,12,FALSE),0)*100/_xlfn.IFNA(VLOOKUP($B17,SOP_Banh!$C:$X,8,FALSE),0),0)-100</f>
        <v>86.046511627906966</v>
      </c>
      <c r="F17" s="61">
        <f>IFERROR(_xlfn.IFNA(VLOOKUP($B17,QuyDoi_DonVi!$C:$S,13,FALSE),0)*100/_xlfn.IFNA(VLOOKUP($B17,SOP_Banh!$C:$X,9,FALSE),0),0)-100</f>
        <v>150</v>
      </c>
      <c r="G17" s="63">
        <f>IFERROR(_xlfn.IFNA(VLOOKUP($B17,Dulieutho,ChiTiet!Z$2,FALSE),0)*100/_xlfn.IFNA(VLOOKUP($B17,SOP_Banh!$C:$X,10,FALSE),0),0)-100</f>
        <v>0</v>
      </c>
      <c r="H17" s="61">
        <f>IFERROR(SUM(_xlfn.IFNA(VLOOKUP($B17,Dulieutho,ChiTiet!AB$2,FALSE),0),_xlfn.IFNA(VLOOKUP($B17,Dulieutho,ChiTiet!AC$2,FALSE),0))*100/_xlfn.IFNA(VLOOKUP($B17,SOP_Banh!$C:$X,20,FALSE),0)-100,0)</f>
        <v>-50.495049504950494</v>
      </c>
      <c r="I17" s="61">
        <f>IFERROR(_xlfn.IFNA(VLOOKUP($B17,Dulieutho,ChiTiet!AF$2,FALSE),0)*100/_xlfn.IFNA(VLOOKUP($B17,SOP_Banh!$C:$X,21,FALSE),0)-100,0)</f>
        <v>-100</v>
      </c>
      <c r="J17" s="61">
        <f>IFERROR(_xlfn.IFNA(VLOOKUP($B17,Dulieutho,ChiTiet!AD$2,FALSE),0)*100/_xlfn.IFNA(VLOOKUP($B17,SOP_Banh!$C:$X,22,FALSE),0)-100,0)</f>
        <v>-100</v>
      </c>
      <c r="K17" s="61">
        <f>IFERROR(_xlfn.IFNA(VLOOKUP($B17,QuyDoi_DonVi!$C:$S,3,FALSE),0)*100/_xlfn.IFNA(VLOOKUP($B17,SOP_Banh!$C:$X,12,FALSE),0),0)-100</f>
        <v>-100</v>
      </c>
      <c r="L17" s="61">
        <f>IFERROR(_xlfn.IFNA(VLOOKUP($B17,QuyDoi_DonVi!$C:$S,5,FALSE),0)*100/(_xlfn.IFNA(VLOOKUP($B17,SOP_Banh!$C:$X,13,FALSE),0)*16)-100,0)</f>
        <v>-55.555555555555557</v>
      </c>
      <c r="M17" s="61">
        <f>IFERROR(_xlfn.IFNA(VLOOKUP($B17,QuyDoi_DonVi!$C:$S,4,FALSE),0)*100/_xlfn.IFNA(VLOOKUP($B17,SOP_Banh!$C:$X,14,FALSE),0),0)-100</f>
        <v>-100</v>
      </c>
      <c r="N17" s="61">
        <f>IFERROR(_xlfn.IFNA(VLOOKUP($B17,Dulieutho,ChiTiet!L$2,FALSE),0)*100/_xlfn.IFNA(VLOOKUP($B17,SOP_Banh!$C:$X,15,FALSE),0),0)-100</f>
        <v>-3.8461538461538396</v>
      </c>
      <c r="O17" s="61">
        <f>IFERROR(_xlfn.IFNA(VLOOKUP($B17,Dulieutho,ChiTiet!AJ$2,FALSE),0)*192*100/_xlfn.IFNA(VLOOKUP($B17,SOP_Banh!$C:$X,16,FALSE),0)-100,0)</f>
        <v>-38.197424892703864</v>
      </c>
      <c r="P17" s="61">
        <f>IFERROR(_xlfn.IFNA(VLOOKUP($B17,Dulieutho,ChiTiet!AG$2,FALSE),0)*100/_xlfn.IFNA(VLOOKUP($B17,SOP_Nuoc!$C:$H,3,FALSE),0)-100,0)</f>
        <v>-100</v>
      </c>
      <c r="Q17" s="63">
        <f>IFERROR(_xlfn.IFNA(VLOOKUP($B17,Dulieutho,ChiTiet!AH$2,FALSE),0)*3600*100/_xlfn.IFNA(VLOOKUP($B17,SOP_Banh!$C:$X,18,FALSE),0)-100,0)</f>
        <v>-100</v>
      </c>
      <c r="R17" s="61">
        <f>IFERROR(_xlfn.IFNA(VLOOKUP($B17,QuyDoi_DonVi!$C:$S,17,FALSE),0)*100/_xlfn.IFNA(VLOOKUP($B17,SOP_Banh!$C:$X,19,FALSE),0),0)-100</f>
        <v>-100</v>
      </c>
      <c r="S17" s="60">
        <f>_xlfn.IFNA(VLOOKUP($B17,SOP_Nuoc!$C:$W,19,FALSE),0)</f>
        <v>0</v>
      </c>
      <c r="T17" s="60">
        <f>IF(S17&lt;&gt;0,IFERROR(_xlfn.IFNA(VLOOKUP($B17,QuyDoi_DonVi!$C:$S,7,FALSE),0)*100/_xlfn.IFNA(VLOOKUP($B17,SOP_Nuoc!$C:$W,20,FALSE),0),0)-100,0)</f>
        <v>0</v>
      </c>
      <c r="U17" s="60">
        <f>_xlfn.IFNA(VLOOKUP($B17,QuyDoi_DonVi!$C:$S,10,FALSE),0)</f>
        <v>0</v>
      </c>
      <c r="V17" s="60">
        <f>_xlfn.IFNA(VLOOKUP($B17,QuyDoi_DonVi!$C:$S,8,FALSE),0)</f>
        <v>11</v>
      </c>
      <c r="W17" s="60">
        <f>_xlfn.IFNA(VLOOKUP($B17,Dulieutho,ChiTiet!S$2,FALSE),0)</f>
        <v>12</v>
      </c>
    </row>
    <row r="18" spans="1:23" ht="15.6">
      <c r="A18" s="10" t="s">
        <v>97</v>
      </c>
      <c r="B18" s="9" t="s">
        <v>125</v>
      </c>
      <c r="C18" s="11" t="s">
        <v>126</v>
      </c>
      <c r="D18" s="62">
        <f>IFERROR(SUM(_xlfn.IFNA(VLOOKUP($B18,Dulieutho,ChiTiet!J$2,FALSE),0),_xlfn.IFNA(VLOOKUP($B18,Dulieutho,ChiTiet!K$2,FALSE),0),_xlfn.IFNA(VLOOKUP($B18,Dulieutho,ChiTiet!AK$2,FALSE),0),_xlfn.IFNA(VLOOKUP($B18,Dulieutho,ChiTiet!AL$2,FALSE),0))*100/_xlfn.IFNA(VLOOKUP($B18,SOP_Banh!$C:$X,7,FALSE),0),0)-100</f>
        <v>8.913813459267999</v>
      </c>
      <c r="E18" s="61">
        <f>IFERROR(_xlfn.IFNA(VLOOKUP($B18,QuyDoi_DonVi!$C:$S,12,FALSE),0)*100/_xlfn.IFNA(VLOOKUP($B18,SOP_Banh!$C:$X,8,FALSE),0),0)-100</f>
        <v>26.315789473684205</v>
      </c>
      <c r="F18" s="61">
        <f>IFERROR(_xlfn.IFNA(VLOOKUP($B18,QuyDoi_DonVi!$C:$S,13,FALSE),0)*100/_xlfn.IFNA(VLOOKUP($B18,SOP_Banh!$C:$X,9,FALSE),0),0)-100</f>
        <v>-40.347071583514101</v>
      </c>
      <c r="G18" s="63">
        <f>IFERROR(_xlfn.IFNA(VLOOKUP($B18,Dulieutho,ChiTiet!Z$2,FALSE),0)*100/_xlfn.IFNA(VLOOKUP($B18,SOP_Banh!$C:$X,10,FALSE),0),0)-100</f>
        <v>20.888888888888886</v>
      </c>
      <c r="H18" s="61">
        <f>IFERROR(SUM(_xlfn.IFNA(VLOOKUP($B18,Dulieutho,ChiTiet!AB$2,FALSE),0),_xlfn.IFNA(VLOOKUP($B18,Dulieutho,ChiTiet!AC$2,FALSE),0))*100/_xlfn.IFNA(VLOOKUP($B18,SOP_Banh!$C:$X,20,FALSE),0)-100,0)</f>
        <v>-66.056670602125138</v>
      </c>
      <c r="I18" s="61">
        <f>IFERROR(_xlfn.IFNA(VLOOKUP($B18,Dulieutho,ChiTiet!AF$2,FALSE),0)*100/_xlfn.IFNA(VLOOKUP($B18,SOP_Banh!$C:$X,21,FALSE),0)-100,0)</f>
        <v>-27.184466019417471</v>
      </c>
      <c r="J18" s="61">
        <f>IFERROR(_xlfn.IFNA(VLOOKUP($B18,Dulieutho,ChiTiet!AD$2,FALSE),0)*100/_xlfn.IFNA(VLOOKUP($B18,SOP_Banh!$C:$X,22,FALSE),0)-100,0)</f>
        <v>0</v>
      </c>
      <c r="K18" s="61">
        <f>IFERROR(_xlfn.IFNA(VLOOKUP($B18,QuyDoi_DonVi!$C:$S,3,FALSE),0)*100/_xlfn.IFNA(VLOOKUP($B18,SOP_Banh!$C:$X,12,FALSE),0),0)-100</f>
        <v>0</v>
      </c>
      <c r="L18" s="61">
        <f>IFERROR(_xlfn.IFNA(VLOOKUP($B18,QuyDoi_DonVi!$C:$S,5,FALSE),0)*100/(_xlfn.IFNA(VLOOKUP($B18,SOP_Banh!$C:$X,13,FALSE),0)*16)-100,0)</f>
        <v>-46.666666666666664</v>
      </c>
      <c r="M18" s="61">
        <f>IFERROR(_xlfn.IFNA(VLOOKUP($B18,QuyDoi_DonVi!$C:$S,4,FALSE),0)*100/_xlfn.IFNA(VLOOKUP($B18,SOP_Banh!$C:$X,14,FALSE),0),0)-100</f>
        <v>100</v>
      </c>
      <c r="N18" s="61">
        <f>IFERROR(_xlfn.IFNA(VLOOKUP($B18,Dulieutho,ChiTiet!L$2,FALSE),0)*100/_xlfn.IFNA(VLOOKUP($B18,SOP_Banh!$C:$X,15,FALSE),0),0)-100</f>
        <v>-0.48543689320388239</v>
      </c>
      <c r="O18" s="61">
        <f>IFERROR(_xlfn.IFNA(VLOOKUP($B18,Dulieutho,ChiTiet!AJ$2,FALSE),0)*192*100/_xlfn.IFNA(VLOOKUP($B18,SOP_Banh!$C:$X,16,FALSE),0)-100,0)</f>
        <v>-48.487804878048777</v>
      </c>
      <c r="P18" s="61">
        <f>IFERROR(_xlfn.IFNA(VLOOKUP($B18,Dulieutho,ChiTiet!AG$2,FALSE),0)*100/_xlfn.IFNA(VLOOKUP($B18,SOP_Nuoc!$C:$H,3,FALSE),0)-100,0)</f>
        <v>-26.829268292682926</v>
      </c>
      <c r="Q18" s="63">
        <f>IFERROR(_xlfn.IFNA(VLOOKUP($B18,Dulieutho,ChiTiet!AH$2,FALSE),0)*3600*100/_xlfn.IFNA(VLOOKUP($B18,SOP_Banh!$C:$X,18,FALSE),0)-100,0)</f>
        <v>-12.195121951219505</v>
      </c>
      <c r="R18" s="61">
        <f>IFERROR(_xlfn.IFNA(VLOOKUP($B18,QuyDoi_DonVi!$C:$S,17,FALSE),0)*100/_xlfn.IFNA(VLOOKUP($B18,SOP_Banh!$C:$X,19,FALSE),0),0)-100</f>
        <v>-26.829268292682926</v>
      </c>
      <c r="S18" s="60">
        <f>_xlfn.IFNA(VLOOKUP($B18,SOP_Nuoc!$C:$W,19,FALSE),0)</f>
        <v>50</v>
      </c>
      <c r="T18" s="60">
        <f>IF(S18&lt;&gt;0,IFERROR(_xlfn.IFNA(VLOOKUP($B18,QuyDoi_DonVi!$C:$S,7,FALSE),0)*100/_xlfn.IFNA(VLOOKUP($B18,SOP_Nuoc!$C:$W,20,FALSE),0),0)-100,0)</f>
        <v>9.9999999999999858</v>
      </c>
      <c r="U18" s="60">
        <f>_xlfn.IFNA(VLOOKUP($B18,QuyDoi_DonVi!$C:$S,10,FALSE),0)</f>
        <v>72</v>
      </c>
      <c r="V18" s="60">
        <f>_xlfn.IFNA(VLOOKUP($B18,QuyDoi_DonVi!$C:$S,8,FALSE),0)</f>
        <v>22.5</v>
      </c>
      <c r="W18" s="60">
        <f>_xlfn.IFNA(VLOOKUP($B18,Dulieutho,ChiTiet!S$2,FALSE),0)</f>
        <v>120</v>
      </c>
    </row>
    <row r="19" spans="1:23" ht="15.6">
      <c r="A19" s="10" t="s">
        <v>97</v>
      </c>
      <c r="B19" s="9" t="s">
        <v>0</v>
      </c>
      <c r="C19" s="11" t="s">
        <v>127</v>
      </c>
      <c r="D19" s="62">
        <f>IFERROR(SUM(_xlfn.IFNA(VLOOKUP($B19,Dulieutho,ChiTiet!J$2,FALSE),0),_xlfn.IFNA(VLOOKUP($B19,Dulieutho,ChiTiet!K$2,FALSE),0),_xlfn.IFNA(VLOOKUP($B19,Dulieutho,ChiTiet!AK$2,FALSE),0),_xlfn.IFNA(VLOOKUP($B19,Dulieutho,ChiTiet!AL$2,FALSE),0))*100/_xlfn.IFNA(VLOOKUP($B19,SOP_Banh!$C:$X,7,FALSE),0),0)-100</f>
        <v>-94.633273703041141</v>
      </c>
      <c r="E19" s="61">
        <f>IFERROR(_xlfn.IFNA(VLOOKUP($B19,QuyDoi_DonVi!$C:$S,12,FALSE),0)*100/_xlfn.IFNA(VLOOKUP($B19,SOP_Banh!$C:$X,8,FALSE),0),0)-100</f>
        <v>102.02020202020202</v>
      </c>
      <c r="F19" s="61">
        <f>IFERROR(_xlfn.IFNA(VLOOKUP($B19,QuyDoi_DonVi!$C:$S,13,FALSE),0)*100/_xlfn.IFNA(VLOOKUP($B19,SOP_Banh!$C:$X,9,FALSE),0),0)-100</f>
        <v>52.671755725190849</v>
      </c>
      <c r="G19" s="63">
        <f>IFERROR(_xlfn.IFNA(VLOOKUP($B19,Dulieutho,ChiTiet!Z$2,FALSE),0)*100/_xlfn.IFNA(VLOOKUP($B19,SOP_Banh!$C:$X,10,FALSE),0),0)-100</f>
        <v>3100</v>
      </c>
      <c r="H19" s="61">
        <f>IFERROR(SUM(_xlfn.IFNA(VLOOKUP($B19,Dulieutho,ChiTiet!AB$2,FALSE),0),_xlfn.IFNA(VLOOKUP($B19,Dulieutho,ChiTiet!AC$2,FALSE),0))*100/_xlfn.IFNA(VLOOKUP($B19,SOP_Banh!$C:$X,20,FALSE),0)-100,0)</f>
        <v>-50.805008944543829</v>
      </c>
      <c r="I19" s="61">
        <f>IFERROR(_xlfn.IFNA(VLOOKUP($B19,Dulieutho,ChiTiet!AF$2,FALSE),0)*100/_xlfn.IFNA(VLOOKUP($B19,SOP_Banh!$C:$X,21,FALSE),0)-100,0)</f>
        <v>11.940298507462686</v>
      </c>
      <c r="J19" s="61">
        <f>IFERROR(_xlfn.IFNA(VLOOKUP($B19,Dulieutho,ChiTiet!AD$2,FALSE),0)*100/_xlfn.IFNA(VLOOKUP($B19,SOP_Banh!$C:$X,22,FALSE),0)-100,0)</f>
        <v>4.1666666666666714</v>
      </c>
      <c r="K19" s="61">
        <f>IFERROR(_xlfn.IFNA(VLOOKUP($B19,QuyDoi_DonVi!$C:$S,3,FALSE),0)*100/_xlfn.IFNA(VLOOKUP($B19,SOP_Banh!$C:$X,12,FALSE),0),0)-100</f>
        <v>-100</v>
      </c>
      <c r="L19" s="61">
        <f>IFERROR(_xlfn.IFNA(VLOOKUP($B19,QuyDoi_DonVi!$C:$S,5,FALSE),0)*100/(_xlfn.IFNA(VLOOKUP($B19,SOP_Banh!$C:$X,13,FALSE),0)*16)-100,0)</f>
        <v>16.666666666666671</v>
      </c>
      <c r="M19" s="61">
        <f>IFERROR(_xlfn.IFNA(VLOOKUP($B19,QuyDoi_DonVi!$C:$S,4,FALSE),0)*100/_xlfn.IFNA(VLOOKUP($B19,SOP_Banh!$C:$X,14,FALSE),0),0)-100</f>
        <v>108.33333333333334</v>
      </c>
      <c r="N19" s="61">
        <f>IFERROR(_xlfn.IFNA(VLOOKUP($B19,Dulieutho,ChiTiet!L$2,FALSE),0)*100/_xlfn.IFNA(VLOOKUP($B19,SOP_Banh!$C:$X,15,FALSE),0),0)-100</f>
        <v>-17.910447761194035</v>
      </c>
      <c r="O19" s="61">
        <f>IFERROR(_xlfn.IFNA(VLOOKUP($B19,Dulieutho,ChiTiet!AJ$2,FALSE),0)*192*100/_xlfn.IFNA(VLOOKUP($B19,SOP_Banh!$C:$X,16,FALSE),0)-100,0)</f>
        <v>-14.828897338403038</v>
      </c>
      <c r="P19" s="61">
        <f>IFERROR(_xlfn.IFNA(VLOOKUP($B19,Dulieutho,ChiTiet!AG$2,FALSE),0)*100/_xlfn.IFNA(VLOOKUP($B19,SOP_Nuoc!$C:$H,3,FALSE),0)-100,0)</f>
        <v>-36.628643852978456</v>
      </c>
      <c r="Q19" s="63">
        <f>IFERROR(_xlfn.IFNA(VLOOKUP($B19,Dulieutho,ChiTiet!AH$2,FALSE),0)*3600*100/_xlfn.IFNA(VLOOKUP($B19,SOP_Banh!$C:$X,18,FALSE),0)-100,0)</f>
        <v>-100</v>
      </c>
      <c r="R19" s="61">
        <f>IFERROR(_xlfn.IFNA(VLOOKUP($B19,QuyDoi_DonVi!$C:$S,17,FALSE),0)*100/_xlfn.IFNA(VLOOKUP($B19,SOP_Banh!$C:$X,19,FALSE),0),0)-100</f>
        <v>-36.628643852978456</v>
      </c>
      <c r="S19" s="60">
        <f>_xlfn.IFNA(VLOOKUP($B19,SOP_Nuoc!$C:$W,19,FALSE),0)</f>
        <v>0</v>
      </c>
      <c r="T19" s="60">
        <f>IF(S19&lt;&gt;0,IFERROR(_xlfn.IFNA(VLOOKUP($B19,QuyDoi_DonVi!$C:$S,7,FALSE),0)*100/_xlfn.IFNA(VLOOKUP($B19,SOP_Nuoc!$C:$W,20,FALSE),0),0)-100,0)</f>
        <v>0</v>
      </c>
      <c r="U19" s="60">
        <f>_xlfn.IFNA(VLOOKUP($B19,QuyDoi_DonVi!$C:$S,10,FALSE),0)</f>
        <v>0</v>
      </c>
      <c r="V19" s="60">
        <f>_xlfn.IFNA(VLOOKUP($B19,QuyDoi_DonVi!$C:$S,8,FALSE),0)</f>
        <v>2.5</v>
      </c>
      <c r="W19" s="60">
        <f>_xlfn.IFNA(VLOOKUP($B19,Dulieutho,ChiTiet!S$2,FALSE),0)</f>
        <v>60</v>
      </c>
    </row>
    <row r="20" spans="1:23" ht="15.6">
      <c r="A20" s="10" t="s">
        <v>97</v>
      </c>
      <c r="B20" s="9" t="s">
        <v>128</v>
      </c>
      <c r="C20" s="11" t="s">
        <v>129</v>
      </c>
      <c r="D20" s="62">
        <f>IFERROR(SUM(_xlfn.IFNA(VLOOKUP($B20,Dulieutho,ChiTiet!J$2,FALSE),0),_xlfn.IFNA(VLOOKUP($B20,Dulieutho,ChiTiet!K$2,FALSE),0),_xlfn.IFNA(VLOOKUP($B20,Dulieutho,ChiTiet!AK$2,FALSE),0),_xlfn.IFNA(VLOOKUP($B20,Dulieutho,ChiTiet!AL$2,FALSE),0))*100/_xlfn.IFNA(VLOOKUP($B20,SOP_Banh!$C:$X,7,FALSE),0),0)-100</f>
        <v>26.106194690265482</v>
      </c>
      <c r="E20" s="61">
        <f>IFERROR(_xlfn.IFNA(VLOOKUP($B20,QuyDoi_DonVi!$C:$S,12,FALSE),0)*100/_xlfn.IFNA(VLOOKUP($B20,SOP_Banh!$C:$X,8,FALSE),0),0)-100</f>
        <v>27.551020408163268</v>
      </c>
      <c r="F20" s="61">
        <f>IFERROR(_xlfn.IFNA(VLOOKUP($B20,QuyDoi_DonVi!$C:$S,13,FALSE),0)*100/_xlfn.IFNA(VLOOKUP($B20,SOP_Banh!$C:$X,9,FALSE),0),0)-100</f>
        <v>-5.149051490514907</v>
      </c>
      <c r="G20" s="63">
        <f>IFERROR(_xlfn.IFNA(VLOOKUP($B20,Dulieutho,ChiTiet!Z$2,FALSE),0)*100/_xlfn.IFNA(VLOOKUP($B20,SOP_Banh!$C:$X,10,FALSE),0),0)-100</f>
        <v>45.454545454545467</v>
      </c>
      <c r="H20" s="61">
        <f>IFERROR(SUM(_xlfn.IFNA(VLOOKUP($B20,Dulieutho,ChiTiet!AB$2,FALSE),0),_xlfn.IFNA(VLOOKUP($B20,Dulieutho,ChiTiet!AC$2,FALSE),0))*100/_xlfn.IFNA(VLOOKUP($B20,SOP_Banh!$C:$X,20,FALSE),0)-100,0)</f>
        <v>-33.628318584070797</v>
      </c>
      <c r="I20" s="61">
        <f>IFERROR(_xlfn.IFNA(VLOOKUP($B20,Dulieutho,ChiTiet!AF$2,FALSE),0)*100/_xlfn.IFNA(VLOOKUP($B20,SOP_Banh!$C:$X,21,FALSE),0)-100,0)</f>
        <v>-5.6603773584905639</v>
      </c>
      <c r="J20" s="61">
        <f>IFERROR(_xlfn.IFNA(VLOOKUP($B20,Dulieutho,ChiTiet!AD$2,FALSE),0)*100/_xlfn.IFNA(VLOOKUP($B20,SOP_Banh!$C:$X,22,FALSE),0)-100,0)</f>
        <v>66.666666666666657</v>
      </c>
      <c r="K20" s="61">
        <f>IFERROR(_xlfn.IFNA(VLOOKUP($B20,QuyDoi_DonVi!$C:$S,3,FALSE),0)*100/_xlfn.IFNA(VLOOKUP($B20,SOP_Banh!$C:$X,12,FALSE),0),0)-100</f>
        <v>-100</v>
      </c>
      <c r="L20" s="61">
        <f>IFERROR(_xlfn.IFNA(VLOOKUP($B20,QuyDoi_DonVi!$C:$S,5,FALSE),0)*100/(_xlfn.IFNA(VLOOKUP($B20,SOP_Banh!$C:$X,13,FALSE),0)*16)-100,0)</f>
        <v>-46.666666666666664</v>
      </c>
      <c r="M20" s="61">
        <f>IFERROR(_xlfn.IFNA(VLOOKUP($B20,QuyDoi_DonVi!$C:$S,4,FALSE),0)*100/_xlfn.IFNA(VLOOKUP($B20,SOP_Banh!$C:$X,14,FALSE),0),0)-100</f>
        <v>233.33333333333331</v>
      </c>
      <c r="N20" s="61">
        <f>IFERROR(_xlfn.IFNA(VLOOKUP($B20,Dulieutho,ChiTiet!L$2,FALSE),0)*100/_xlfn.IFNA(VLOOKUP($B20,SOP_Banh!$C:$X,15,FALSE),0),0)-100</f>
        <v>-10.377358490566039</v>
      </c>
      <c r="O20" s="61">
        <f>IFERROR(_xlfn.IFNA(VLOOKUP($B20,Dulieutho,ChiTiet!AJ$2,FALSE),0)*192*100/_xlfn.IFNA(VLOOKUP($B20,SOP_Banh!$C:$X,16,FALSE),0)-100,0)</f>
        <v>2.3696682464454994</v>
      </c>
      <c r="P20" s="61">
        <f>IFERROR(_xlfn.IFNA(VLOOKUP($B20,Dulieutho,ChiTiet!AG$2,FALSE),0)*100/_xlfn.IFNA(VLOOKUP($B20,SOP_Nuoc!$C:$H,3,FALSE),0)-100,0)</f>
        <v>18.483412322274887</v>
      </c>
      <c r="Q20" s="63">
        <f>IFERROR(_xlfn.IFNA(VLOOKUP($B20,Dulieutho,ChiTiet!AH$2,FALSE),0)*3600*100/_xlfn.IFNA(VLOOKUP($B20,SOP_Banh!$C:$X,18,FALSE),0)-100,0)</f>
        <v>-100</v>
      </c>
      <c r="R20" s="61">
        <f>IFERROR(_xlfn.IFNA(VLOOKUP($B20,QuyDoi_DonVi!$C:$S,17,FALSE),0)*100/_xlfn.IFNA(VLOOKUP($B20,SOP_Banh!$C:$X,19,FALSE),0),0)-100</f>
        <v>18.483412322274887</v>
      </c>
      <c r="S20" s="60">
        <f>_xlfn.IFNA(VLOOKUP($B20,SOP_Nuoc!$C:$W,19,FALSE),0)</f>
        <v>25</v>
      </c>
      <c r="T20" s="60">
        <f>IF(S20&lt;&gt;0,IFERROR(_xlfn.IFNA(VLOOKUP($B20,QuyDoi_DonVi!$C:$S,7,FALSE),0)*100/_xlfn.IFNA(VLOOKUP($B20,SOP_Nuoc!$C:$W,20,FALSE),0),0)-100,0)</f>
        <v>-34</v>
      </c>
      <c r="U20" s="60">
        <f>_xlfn.IFNA(VLOOKUP($B20,QuyDoi_DonVi!$C:$S,10,FALSE),0)</f>
        <v>24</v>
      </c>
      <c r="V20" s="60">
        <f>_xlfn.IFNA(VLOOKUP($B20,QuyDoi_DonVi!$C:$S,8,FALSE),0)</f>
        <v>10</v>
      </c>
      <c r="W20" s="60">
        <f>_xlfn.IFNA(VLOOKUP($B20,Dulieutho,ChiTiet!S$2,FALSE),0)</f>
        <v>84</v>
      </c>
    </row>
    <row r="21" spans="1:23" ht="15.6">
      <c r="A21" s="10" t="s">
        <v>97</v>
      </c>
      <c r="B21" s="9" t="s">
        <v>130</v>
      </c>
      <c r="C21" s="11" t="s">
        <v>131</v>
      </c>
      <c r="D21" s="62">
        <f>IFERROR(SUM(_xlfn.IFNA(VLOOKUP($B21,Dulieutho,ChiTiet!J$2,FALSE),0),_xlfn.IFNA(VLOOKUP($B21,Dulieutho,ChiTiet!K$2,FALSE),0),_xlfn.IFNA(VLOOKUP($B21,Dulieutho,ChiTiet!AK$2,FALSE),0),_xlfn.IFNA(VLOOKUP($B21,Dulieutho,ChiTiet!AL$2,FALSE),0))*100/_xlfn.IFNA(VLOOKUP($B21,SOP_Banh!$C:$X,7,FALSE),0),0)-100</f>
        <v>2.2187004754358099</v>
      </c>
      <c r="E21" s="61">
        <f>IFERROR(_xlfn.IFNA(VLOOKUP($B21,QuyDoi_DonVi!$C:$S,12,FALSE),0)*100/_xlfn.IFNA(VLOOKUP($B21,SOP_Banh!$C:$X,8,FALSE),0),0)-100</f>
        <v>73.160173160173173</v>
      </c>
      <c r="F21" s="61">
        <f>IFERROR(_xlfn.IFNA(VLOOKUP($B21,QuyDoi_DonVi!$C:$S,13,FALSE),0)*100/_xlfn.IFNA(VLOOKUP($B21,SOP_Banh!$C:$X,9,FALSE),0),0)-100</f>
        <v>30.246020260492031</v>
      </c>
      <c r="G21" s="63">
        <f>IFERROR(_xlfn.IFNA(VLOOKUP($B21,Dulieutho,ChiTiet!Z$2,FALSE),0)*100/_xlfn.IFNA(VLOOKUP($B21,SOP_Banh!$C:$X,10,FALSE),0),0)-100</f>
        <v>38.271604938271594</v>
      </c>
      <c r="H21" s="61">
        <f>IFERROR(SUM(_xlfn.IFNA(VLOOKUP($B21,Dulieutho,ChiTiet!AB$2,FALSE),0),_xlfn.IFNA(VLOOKUP($B21,Dulieutho,ChiTiet!AC$2,FALSE),0))*100/_xlfn.IFNA(VLOOKUP($B21,SOP_Banh!$C:$X,20,FALSE),0)-100,0)</f>
        <v>-36.608557844690964</v>
      </c>
      <c r="I21" s="61">
        <f>IFERROR(_xlfn.IFNA(VLOOKUP($B21,Dulieutho,ChiTiet!AF$2,FALSE),0)*100/_xlfn.IFNA(VLOOKUP($B21,SOP_Banh!$C:$X,21,FALSE),0)-100,0)</f>
        <v>-100</v>
      </c>
      <c r="J21" s="61">
        <f>IFERROR(_xlfn.IFNA(VLOOKUP($B21,Dulieutho,ChiTiet!AD$2,FALSE),0)*100/_xlfn.IFNA(VLOOKUP($B21,SOP_Banh!$C:$X,22,FALSE),0)-100,0)</f>
        <v>-16.666666666666671</v>
      </c>
      <c r="K21" s="61">
        <f>IFERROR(_xlfn.IFNA(VLOOKUP($B21,QuyDoi_DonVi!$C:$S,3,FALSE),0)*100/_xlfn.IFNA(VLOOKUP($B21,SOP_Banh!$C:$X,12,FALSE),0),0)-100</f>
        <v>-100</v>
      </c>
      <c r="L21" s="61">
        <f>IFERROR(_xlfn.IFNA(VLOOKUP($B21,QuyDoi_DonVi!$C:$S,5,FALSE),0)*100/(_xlfn.IFNA(VLOOKUP($B21,SOP_Banh!$C:$X,13,FALSE),0)*16)-100,0)</f>
        <v>-20</v>
      </c>
      <c r="M21" s="61">
        <f>IFERROR(_xlfn.IFNA(VLOOKUP($B21,QuyDoi_DonVi!$C:$S,4,FALSE),0)*100/_xlfn.IFNA(VLOOKUP($B21,SOP_Banh!$C:$X,14,FALSE),0),0)-100</f>
        <v>233.33333333333331</v>
      </c>
      <c r="N21" s="61">
        <f>IFERROR(_xlfn.IFNA(VLOOKUP($B21,Dulieutho,ChiTiet!L$2,FALSE),0)*100/_xlfn.IFNA(VLOOKUP($B21,SOP_Banh!$C:$X,15,FALSE),0),0)-100</f>
        <v>4.8387096774193594</v>
      </c>
      <c r="O21" s="61">
        <f>IFERROR(_xlfn.IFNA(VLOOKUP($B21,Dulieutho,ChiTiet!AJ$2,FALSE),0)*192*100/_xlfn.IFNA(VLOOKUP($B21,SOP_Banh!$C:$X,16,FALSE),0)-100,0)</f>
        <v>-23.505976095617527</v>
      </c>
      <c r="P21" s="61">
        <f>IFERROR(_xlfn.IFNA(VLOOKUP($B21,Dulieutho,ChiTiet!AG$2,FALSE),0)*100/_xlfn.IFNA(VLOOKUP($B21,SOP_Nuoc!$C:$H,3,FALSE),0)-100,0)</f>
        <v>32.80212483399734</v>
      </c>
      <c r="Q21" s="63">
        <f>IFERROR(_xlfn.IFNA(VLOOKUP($B21,Dulieutho,ChiTiet!AH$2,FALSE),0)*3600*100/_xlfn.IFNA(VLOOKUP($B21,SOP_Banh!$C:$X,18,FALSE),0)-100,0)</f>
        <v>-100</v>
      </c>
      <c r="R21" s="61">
        <f>IFERROR(_xlfn.IFNA(VLOOKUP($B21,QuyDoi_DonVi!$C:$S,17,FALSE),0)*100/_xlfn.IFNA(VLOOKUP($B21,SOP_Banh!$C:$X,19,FALSE),0),0)-100</f>
        <v>32.80212483399734</v>
      </c>
      <c r="S21" s="60">
        <f>_xlfn.IFNA(VLOOKUP($B21,SOP_Nuoc!$C:$W,19,FALSE),0)</f>
        <v>25</v>
      </c>
      <c r="T21" s="60">
        <f>IF(S21&lt;&gt;0,IFERROR(_xlfn.IFNA(VLOOKUP($B21,QuyDoi_DonVi!$C:$S,7,FALSE),0)*100/_xlfn.IFNA(VLOOKUP($B21,SOP_Nuoc!$C:$W,20,FALSE),0),0)-100,0)</f>
        <v>-34</v>
      </c>
      <c r="U21" s="60">
        <f>_xlfn.IFNA(VLOOKUP($B21,QuyDoi_DonVi!$C:$S,10,FALSE),0)</f>
        <v>12</v>
      </c>
      <c r="V21" s="60">
        <f>_xlfn.IFNA(VLOOKUP($B21,QuyDoi_DonVi!$C:$S,8,FALSE),0)</f>
        <v>16.5</v>
      </c>
      <c r="W21" s="60">
        <f>_xlfn.IFNA(VLOOKUP($B21,Dulieutho,ChiTiet!S$2,FALSE),0)</f>
        <v>60</v>
      </c>
    </row>
    <row r="22" spans="1:23" ht="15.6">
      <c r="A22" s="10" t="s">
        <v>97</v>
      </c>
      <c r="B22" s="9" t="s">
        <v>132</v>
      </c>
      <c r="C22" s="11" t="s">
        <v>133</v>
      </c>
      <c r="D22" s="62">
        <f>IFERROR(SUM(_xlfn.IFNA(VLOOKUP($B22,Dulieutho,ChiTiet!J$2,FALSE),0),_xlfn.IFNA(VLOOKUP($B22,Dulieutho,ChiTiet!K$2,FALSE),0),_xlfn.IFNA(VLOOKUP($B22,Dulieutho,ChiTiet!AK$2,FALSE),0),_xlfn.IFNA(VLOOKUP($B22,Dulieutho,ChiTiet!AL$2,FALSE),0))*100/_xlfn.IFNA(VLOOKUP($B22,SOP_Banh!$C:$X,7,FALSE),0),0)-100</f>
        <v>59.863945578231295</v>
      </c>
      <c r="E22" s="61">
        <f>IFERROR(_xlfn.IFNA(VLOOKUP($B22,QuyDoi_DonVi!$C:$S,12,FALSE),0)*100/_xlfn.IFNA(VLOOKUP($B22,SOP_Banh!$C:$X,8,FALSE),0),0)-100</f>
        <v>-17.864476386036955</v>
      </c>
      <c r="F22" s="61">
        <f>IFERROR(_xlfn.IFNA(VLOOKUP($B22,QuyDoi_DonVi!$C:$S,13,FALSE),0)*100/_xlfn.IFNA(VLOOKUP($B22,SOP_Banh!$C:$X,9,FALSE),0),0)-100</f>
        <v>115.05376344086022</v>
      </c>
      <c r="G22" s="63">
        <f>IFERROR(_xlfn.IFNA(VLOOKUP($B22,Dulieutho,ChiTiet!Z$2,FALSE),0)*100/_xlfn.IFNA(VLOOKUP($B22,SOP_Banh!$C:$X,10,FALSE),0),0)-100</f>
        <v>16.666666666666671</v>
      </c>
      <c r="H22" s="61">
        <f>IFERROR(SUM(_xlfn.IFNA(VLOOKUP($B22,Dulieutho,ChiTiet!AB$2,FALSE),0),_xlfn.IFNA(VLOOKUP($B22,Dulieutho,ChiTiet!AC$2,FALSE),0))*100/_xlfn.IFNA(VLOOKUP($B22,SOP_Banh!$C:$X,20,FALSE),0)-100,0)</f>
        <v>-54.648526077097507</v>
      </c>
      <c r="I22" s="61">
        <f>IFERROR(_xlfn.IFNA(VLOOKUP($B22,Dulieutho,ChiTiet!AF$2,FALSE),0)*100/_xlfn.IFNA(VLOOKUP($B22,SOP_Banh!$C:$X,21,FALSE),0)-100,0)</f>
        <v>8.6956521739130466</v>
      </c>
      <c r="J22" s="61">
        <f>IFERROR(_xlfn.IFNA(VLOOKUP($B22,Dulieutho,ChiTiet!AD$2,FALSE),0)*100/_xlfn.IFNA(VLOOKUP($B22,SOP_Banh!$C:$X,22,FALSE),0)-100,0)</f>
        <v>-100</v>
      </c>
      <c r="K22" s="61">
        <f>IFERROR(_xlfn.IFNA(VLOOKUP($B22,QuyDoi_DonVi!$C:$S,3,FALSE),0)*100/_xlfn.IFNA(VLOOKUP($B22,SOP_Banh!$C:$X,12,FALSE),0),0)-100</f>
        <v>-100</v>
      </c>
      <c r="L22" s="61">
        <f>IFERROR(_xlfn.IFNA(VLOOKUP($B22,QuyDoi_DonVi!$C:$S,5,FALSE),0)*100/(_xlfn.IFNA(VLOOKUP($B22,SOP_Banh!$C:$X,13,FALSE),0)*16)-100,0)</f>
        <v>-100</v>
      </c>
      <c r="M22" s="61">
        <f>IFERROR(_xlfn.IFNA(VLOOKUP($B22,QuyDoi_DonVi!$C:$S,4,FALSE),0)*100/_xlfn.IFNA(VLOOKUP($B22,SOP_Banh!$C:$X,14,FALSE),0),0)-100</f>
        <v>-100</v>
      </c>
      <c r="N22" s="61">
        <f>IFERROR(_xlfn.IFNA(VLOOKUP($B22,Dulieutho,ChiTiet!L$2,FALSE),0)*100/_xlfn.IFNA(VLOOKUP($B22,SOP_Banh!$C:$X,15,FALSE),0),0)-100</f>
        <v>-23.913043478260875</v>
      </c>
      <c r="O22" s="61">
        <f>IFERROR(_xlfn.IFNA(VLOOKUP($B22,Dulieutho,ChiTiet!AJ$2,FALSE),0)*192*100/_xlfn.IFNA(VLOOKUP($B22,SOP_Banh!$C:$X,16,FALSE),0)-100,0)</f>
        <v>50.293542074363984</v>
      </c>
      <c r="P22" s="61">
        <f>IFERROR(_xlfn.IFNA(VLOOKUP($B22,Dulieutho,ChiTiet!AG$2,FALSE),0)*100/_xlfn.IFNA(VLOOKUP($B22,SOP_Nuoc!$C:$H,3,FALSE),0)-100,0)</f>
        <v>-2.1526418786692716</v>
      </c>
      <c r="Q22" s="63">
        <f>IFERROR(_xlfn.IFNA(VLOOKUP($B22,Dulieutho,ChiTiet!AH$2,FALSE),0)*3600*100/_xlfn.IFNA(VLOOKUP($B22,SOP_Banh!$C:$X,18,FALSE),0)-100,0)</f>
        <v>252.2504892367906</v>
      </c>
      <c r="R22" s="61">
        <f>IFERROR(_xlfn.IFNA(VLOOKUP($B22,QuyDoi_DonVi!$C:$S,17,FALSE),0)*100/_xlfn.IFNA(VLOOKUP($B22,SOP_Banh!$C:$X,19,FALSE),0),0)-100</f>
        <v>-2.1526418786692716</v>
      </c>
      <c r="S22" s="60">
        <f>_xlfn.IFNA(VLOOKUP($B22,SOP_Nuoc!$C:$W,19,FALSE),0)</f>
        <v>0</v>
      </c>
      <c r="T22" s="60">
        <f>IF(S22&lt;&gt;0,IFERROR(_xlfn.IFNA(VLOOKUP($B22,QuyDoi_DonVi!$C:$S,7,FALSE),0)*100/_xlfn.IFNA(VLOOKUP($B22,SOP_Nuoc!$C:$W,20,FALSE),0),0)-100,0)</f>
        <v>0</v>
      </c>
      <c r="U22" s="60">
        <f>_xlfn.IFNA(VLOOKUP($B22,QuyDoi_DonVi!$C:$S,10,FALSE),0)</f>
        <v>0</v>
      </c>
      <c r="V22" s="60">
        <f>_xlfn.IFNA(VLOOKUP($B22,QuyDoi_DonVi!$C:$S,8,FALSE),0)</f>
        <v>0</v>
      </c>
      <c r="W22" s="60">
        <f>_xlfn.IFNA(VLOOKUP($B22,Dulieutho,ChiTiet!S$2,FALSE),0)</f>
        <v>96</v>
      </c>
    </row>
    <row r="23" spans="1:23" ht="15.6">
      <c r="A23" s="10" t="s">
        <v>97</v>
      </c>
      <c r="B23" s="9" t="s">
        <v>134</v>
      </c>
      <c r="C23" s="11" t="s">
        <v>135</v>
      </c>
      <c r="D23" s="62">
        <f>IFERROR(SUM(_xlfn.IFNA(VLOOKUP($B23,Dulieutho,ChiTiet!J$2,FALSE),0),_xlfn.IFNA(VLOOKUP($B23,Dulieutho,ChiTiet!K$2,FALSE),0),_xlfn.IFNA(VLOOKUP($B23,Dulieutho,ChiTiet!AK$2,FALSE),0),_xlfn.IFNA(VLOOKUP($B23,Dulieutho,ChiTiet!AL$2,FALSE),0))*100/_xlfn.IFNA(VLOOKUP($B23,SOP_Banh!$C:$X,7,FALSE),0),0)-100</f>
        <v>6.9418386491557271</v>
      </c>
      <c r="E23" s="61">
        <f>IFERROR(_xlfn.IFNA(VLOOKUP($B23,QuyDoi_DonVi!$C:$S,12,FALSE),0)*100/_xlfn.IFNA(VLOOKUP($B23,SOP_Banh!$C:$X,8,FALSE),0),0)-100</f>
        <v>36.752136752136749</v>
      </c>
      <c r="F23" s="61">
        <f>IFERROR(_xlfn.IFNA(VLOOKUP($B23,QuyDoi_DonVi!$C:$S,13,FALSE),0)*100/_xlfn.IFNA(VLOOKUP($B23,SOP_Banh!$C:$X,9,FALSE),0),0)-100</f>
        <v>-30.434782608695656</v>
      </c>
      <c r="G23" s="63">
        <f>IFERROR(_xlfn.IFNA(VLOOKUP($B23,Dulieutho,ChiTiet!Z$2,FALSE),0)*100/_xlfn.IFNA(VLOOKUP($B23,SOP_Banh!$C:$X,10,FALSE),0),0)-100</f>
        <v>-8.0459770114942586</v>
      </c>
      <c r="H23" s="61">
        <f>IFERROR(SUM(_xlfn.IFNA(VLOOKUP($B23,Dulieutho,ChiTiet!AB$2,FALSE),0),_xlfn.IFNA(VLOOKUP($B23,Dulieutho,ChiTiet!AC$2,FALSE),0))*100/_xlfn.IFNA(VLOOKUP($B23,SOP_Banh!$C:$X,20,FALSE),0)-100,0)</f>
        <v>-20.262664165103189</v>
      </c>
      <c r="I23" s="61">
        <f>IFERROR(_xlfn.IFNA(VLOOKUP($B23,Dulieutho,ChiTiet!AF$2,FALSE),0)*100/_xlfn.IFNA(VLOOKUP($B23,SOP_Banh!$C:$X,21,FALSE),0)-100,0)</f>
        <v>-3.8461538461538396</v>
      </c>
      <c r="J23" s="61">
        <f>IFERROR(_xlfn.IFNA(VLOOKUP($B23,Dulieutho,ChiTiet!AD$2,FALSE),0)*100/_xlfn.IFNA(VLOOKUP($B23,SOP_Banh!$C:$X,22,FALSE),0)-100,0)</f>
        <v>-100</v>
      </c>
      <c r="K23" s="61">
        <f>IFERROR(_xlfn.IFNA(VLOOKUP($B23,QuyDoi_DonVi!$C:$S,3,FALSE),0)*100/_xlfn.IFNA(VLOOKUP($B23,SOP_Banh!$C:$X,12,FALSE),0),0)-100</f>
        <v>19.047619047619051</v>
      </c>
      <c r="L23" s="61">
        <f>IFERROR(_xlfn.IFNA(VLOOKUP($B23,QuyDoi_DonVi!$C:$S,5,FALSE),0)*100/(_xlfn.IFNA(VLOOKUP($B23,SOP_Banh!$C:$X,13,FALSE),0)*16)-100,0)</f>
        <v>-61.904761904761905</v>
      </c>
      <c r="M23" s="61">
        <f>IFERROR(_xlfn.IFNA(VLOOKUP($B23,QuyDoi_DonVi!$C:$S,4,FALSE),0)*100/_xlfn.IFNA(VLOOKUP($B23,SOP_Banh!$C:$X,14,FALSE),0),0)-100</f>
        <v>-100</v>
      </c>
      <c r="N23" s="61">
        <f>IFERROR(_xlfn.IFNA(VLOOKUP($B23,Dulieutho,ChiTiet!L$2,FALSE),0)*100/_xlfn.IFNA(VLOOKUP($B23,SOP_Banh!$C:$X,15,FALSE),0),0)-100</f>
        <v>5.7692307692307736</v>
      </c>
      <c r="O23" s="61">
        <f>IFERROR(_xlfn.IFNA(VLOOKUP($B23,Dulieutho,ChiTiet!AJ$2,FALSE),0)*192*100/_xlfn.IFNA(VLOOKUP($B23,SOP_Banh!$C:$X,16,FALSE),0)-100,0)</f>
        <v>-38.755980861244019</v>
      </c>
      <c r="P23" s="61">
        <f>IFERROR(_xlfn.IFNA(VLOOKUP($B23,Dulieutho,ChiTiet!AG$2,FALSE),0)*100/_xlfn.IFNA(VLOOKUP($B23,SOP_Nuoc!$C:$H,3,FALSE),0)-100,0)</f>
        <v>-20.255183413078143</v>
      </c>
      <c r="Q23" s="63">
        <f>IFERROR(_xlfn.IFNA(VLOOKUP($B23,Dulieutho,ChiTiet!AH$2,FALSE),0)*3600*100/_xlfn.IFNA(VLOOKUP($B23,SOP_Banh!$C:$X,18,FALSE),0)-100,0)</f>
        <v>-100</v>
      </c>
      <c r="R23" s="61">
        <f>IFERROR(_xlfn.IFNA(VLOOKUP($B23,QuyDoi_DonVi!$C:$S,17,FALSE),0)*100/_xlfn.IFNA(VLOOKUP($B23,SOP_Banh!$C:$X,19,FALSE),0),0)-100</f>
        <v>-20.255183413078143</v>
      </c>
      <c r="S23" s="60">
        <f>_xlfn.IFNA(VLOOKUP($B23,SOP_Nuoc!$C:$W,19,FALSE),0)</f>
        <v>0</v>
      </c>
      <c r="T23" s="60">
        <f>IF(S23&lt;&gt;0,IFERROR(_xlfn.IFNA(VLOOKUP($B23,QuyDoi_DonVi!$C:$S,7,FALSE),0)*100/_xlfn.IFNA(VLOOKUP($B23,SOP_Nuoc!$C:$W,20,FALSE),0),0)-100,0)</f>
        <v>0</v>
      </c>
      <c r="U23" s="60">
        <f>_xlfn.IFNA(VLOOKUP($B23,QuyDoi_DonVi!$C:$S,10,FALSE),0)</f>
        <v>12</v>
      </c>
      <c r="V23" s="60">
        <f>_xlfn.IFNA(VLOOKUP($B23,QuyDoi_DonVi!$C:$S,8,FALSE),0)</f>
        <v>12</v>
      </c>
      <c r="W23" s="60">
        <f>_xlfn.IFNA(VLOOKUP($B23,Dulieutho,ChiTiet!S$2,FALSE),0)</f>
        <v>36</v>
      </c>
    </row>
    <row r="24" spans="1:23" ht="15.6">
      <c r="A24" s="10" t="s">
        <v>97</v>
      </c>
      <c r="B24" s="9" t="s">
        <v>136</v>
      </c>
      <c r="C24" s="11" t="s">
        <v>137</v>
      </c>
      <c r="D24" s="62">
        <f>IFERROR(SUM(_xlfn.IFNA(VLOOKUP($B24,Dulieutho,ChiTiet!J$2,FALSE),0),_xlfn.IFNA(VLOOKUP($B24,Dulieutho,ChiTiet!K$2,FALSE),0),_xlfn.IFNA(VLOOKUP($B24,Dulieutho,ChiTiet!AK$2,FALSE),0),_xlfn.IFNA(VLOOKUP($B24,Dulieutho,ChiTiet!AL$2,FALSE),0))*100/_xlfn.IFNA(VLOOKUP($B24,SOP_Banh!$C:$X,7,FALSE),0),0)-100</f>
        <v>50</v>
      </c>
      <c r="E24" s="61">
        <f>IFERROR(_xlfn.IFNA(VLOOKUP($B24,QuyDoi_DonVi!$C:$S,12,FALSE),0)*100/_xlfn.IFNA(VLOOKUP($B24,SOP_Banh!$C:$X,8,FALSE),0),0)-100</f>
        <v>322.53521126760563</v>
      </c>
      <c r="F24" s="61">
        <f>IFERROR(_xlfn.IFNA(VLOOKUP($B24,QuyDoi_DonVi!$C:$S,13,FALSE),0)*100/_xlfn.IFNA(VLOOKUP($B24,SOP_Banh!$C:$X,9,FALSE),0),0)-100</f>
        <v>50.375939849624046</v>
      </c>
      <c r="G24" s="63">
        <f>IFERROR(_xlfn.IFNA(VLOOKUP($B24,Dulieutho,ChiTiet!Z$2,FALSE),0)*100/_xlfn.IFNA(VLOOKUP($B24,SOP_Banh!$C:$X,10,FALSE),0),0)-100</f>
        <v>-30.434782608695656</v>
      </c>
      <c r="H24" s="61">
        <f>IFERROR(SUM(_xlfn.IFNA(VLOOKUP($B24,Dulieutho,ChiTiet!AB$2,FALSE),0),_xlfn.IFNA(VLOOKUP($B24,Dulieutho,ChiTiet!AC$2,FALSE),0))*100/_xlfn.IFNA(VLOOKUP($B24,SOP_Banh!$C:$X,20,FALSE),0)-100,0)</f>
        <v>-13.461538461538467</v>
      </c>
      <c r="I24" s="61">
        <f>IFERROR(_xlfn.IFNA(VLOOKUP($B24,Dulieutho,ChiTiet!AF$2,FALSE),0)*100/_xlfn.IFNA(VLOOKUP($B24,SOP_Banh!$C:$X,21,FALSE),0)-100,0)</f>
        <v>316.66666666666669</v>
      </c>
      <c r="J24" s="61">
        <f>IFERROR(_xlfn.IFNA(VLOOKUP($B24,Dulieutho,ChiTiet!AD$2,FALSE),0)*100/_xlfn.IFNA(VLOOKUP($B24,SOP_Banh!$C:$X,22,FALSE),0)-100,0)</f>
        <v>-100</v>
      </c>
      <c r="K24" s="61">
        <f>IFERROR(_xlfn.IFNA(VLOOKUP($B24,QuyDoi_DonVi!$C:$S,3,FALSE),0)*100/_xlfn.IFNA(VLOOKUP($B24,SOP_Banh!$C:$X,12,FALSE),0),0)-100</f>
        <v>733.33333333333337</v>
      </c>
      <c r="L24" s="61">
        <f>IFERROR(_xlfn.IFNA(VLOOKUP($B24,QuyDoi_DonVi!$C:$S,5,FALSE),0)*100/(_xlfn.IFNA(VLOOKUP($B24,SOP_Banh!$C:$X,13,FALSE),0)*16)-100,0)</f>
        <v>-100</v>
      </c>
      <c r="M24" s="61">
        <f>IFERROR(_xlfn.IFNA(VLOOKUP($B24,QuyDoi_DonVi!$C:$S,4,FALSE),0)*100/_xlfn.IFNA(VLOOKUP($B24,SOP_Banh!$C:$X,14,FALSE),0),0)-100</f>
        <v>-100</v>
      </c>
      <c r="N24" s="61">
        <f>IFERROR(_xlfn.IFNA(VLOOKUP($B24,Dulieutho,ChiTiet!L$2,FALSE),0)*100/_xlfn.IFNA(VLOOKUP($B24,SOP_Banh!$C:$X,15,FALSE),0),0)-100</f>
        <v>150</v>
      </c>
      <c r="O24" s="61">
        <f>IFERROR(_xlfn.IFNA(VLOOKUP($B24,Dulieutho,ChiTiet!AJ$2,FALSE),0)*192*100/_xlfn.IFNA(VLOOKUP($B24,SOP_Banh!$C:$X,16,FALSE),0)-100,0)</f>
        <v>98.620689655172413</v>
      </c>
      <c r="P24" s="61">
        <f>IFERROR(_xlfn.IFNA(VLOOKUP($B24,Dulieutho,ChiTiet!AG$2,FALSE),0)*100/_xlfn.IFNA(VLOOKUP($B24,SOP_Nuoc!$C:$H,3,FALSE),0)-100,0)</f>
        <v>-100</v>
      </c>
      <c r="Q24" s="63">
        <f>IFERROR(_xlfn.IFNA(VLOOKUP($B24,Dulieutho,ChiTiet!AH$2,FALSE),0)*3600*100/_xlfn.IFNA(VLOOKUP($B24,SOP_Banh!$C:$X,18,FALSE),0)-100,0)</f>
        <v>520.68965517241384</v>
      </c>
      <c r="R24" s="61">
        <f>IFERROR(_xlfn.IFNA(VLOOKUP($B24,QuyDoi_DonVi!$C:$S,17,FALSE),0)*100/_xlfn.IFNA(VLOOKUP($B24,SOP_Banh!$C:$X,19,FALSE),0),0)-100</f>
        <v>-100</v>
      </c>
      <c r="S24" s="60">
        <f>_xlfn.IFNA(VLOOKUP($B24,SOP_Nuoc!$C:$W,19,FALSE),0)</f>
        <v>0</v>
      </c>
      <c r="T24" s="60">
        <f>IF(S24&lt;&gt;0,IFERROR(_xlfn.IFNA(VLOOKUP($B24,QuyDoi_DonVi!$C:$S,7,FALSE),0)*100/_xlfn.IFNA(VLOOKUP($B24,SOP_Nuoc!$C:$W,20,FALSE),0),0)-100,0)</f>
        <v>0</v>
      </c>
      <c r="U24" s="60">
        <f>_xlfn.IFNA(VLOOKUP($B24,QuyDoi_DonVi!$C:$S,10,FALSE),0)</f>
        <v>0</v>
      </c>
      <c r="V24" s="60">
        <f>_xlfn.IFNA(VLOOKUP($B24,QuyDoi_DonVi!$C:$S,8,FALSE),0)</f>
        <v>9</v>
      </c>
      <c r="W24" s="60">
        <f>_xlfn.IFNA(VLOOKUP($B24,Dulieutho,ChiTiet!S$2,FALSE),0)</f>
        <v>36</v>
      </c>
    </row>
    <row r="25" spans="1:23" ht="15.6">
      <c r="A25" s="10" t="s">
        <v>97</v>
      </c>
      <c r="B25" s="9" t="s">
        <v>138</v>
      </c>
      <c r="C25" s="11" t="s">
        <v>139</v>
      </c>
      <c r="D25" s="62">
        <f>IFERROR(SUM(_xlfn.IFNA(VLOOKUP($B25,Dulieutho,ChiTiet!J$2,FALSE),0),_xlfn.IFNA(VLOOKUP($B25,Dulieutho,ChiTiet!K$2,FALSE),0),_xlfn.IFNA(VLOOKUP($B25,Dulieutho,ChiTiet!AK$2,FALSE),0),_xlfn.IFNA(VLOOKUP($B25,Dulieutho,ChiTiet!AL$2,FALSE),0))*100/_xlfn.IFNA(VLOOKUP($B25,SOP_Banh!$C:$X,7,FALSE),0),0)-100</f>
        <v>1.6483516483516496</v>
      </c>
      <c r="E25" s="61">
        <f>IFERROR(_xlfn.IFNA(VLOOKUP($B25,QuyDoi_DonVi!$C:$S,12,FALSE),0)*100/_xlfn.IFNA(VLOOKUP($B25,SOP_Banh!$C:$X,8,FALSE),0),0)-100</f>
        <v>31.147540983606547</v>
      </c>
      <c r="F25" s="61">
        <f>IFERROR(_xlfn.IFNA(VLOOKUP($B25,QuyDoi_DonVi!$C:$S,13,FALSE),0)*100/_xlfn.IFNA(VLOOKUP($B25,SOP_Banh!$C:$X,9,FALSE),0),0)-100</f>
        <v>55.763239875389417</v>
      </c>
      <c r="G25" s="63">
        <f>IFERROR(_xlfn.IFNA(VLOOKUP($B25,Dulieutho,ChiTiet!Z$2,FALSE),0)*100/_xlfn.IFNA(VLOOKUP($B25,SOP_Banh!$C:$X,10,FALSE),0),0)-100</f>
        <v>28</v>
      </c>
      <c r="H25" s="61">
        <f>IFERROR(SUM(_xlfn.IFNA(VLOOKUP($B25,Dulieutho,ChiTiet!AB$2,FALSE),0),_xlfn.IFNA(VLOOKUP($B25,Dulieutho,ChiTiet!AC$2,FALSE),0))*100/_xlfn.IFNA(VLOOKUP($B25,SOP_Banh!$C:$X,20,FALSE),0)-100,0)</f>
        <v>-40.476190476190474</v>
      </c>
      <c r="I25" s="61">
        <f>IFERROR(_xlfn.IFNA(VLOOKUP($B25,Dulieutho,ChiTiet!AF$2,FALSE),0)*100/_xlfn.IFNA(VLOOKUP($B25,SOP_Banh!$C:$X,21,FALSE),0)-100,0)</f>
        <v>-21.875</v>
      </c>
      <c r="J25" s="61">
        <f>IFERROR(_xlfn.IFNA(VLOOKUP($B25,Dulieutho,ChiTiet!AD$2,FALSE),0)*100/_xlfn.IFNA(VLOOKUP($B25,SOP_Banh!$C:$X,22,FALSE),0)-100,0)</f>
        <v>-47.916666666666664</v>
      </c>
      <c r="K25" s="61">
        <f>IFERROR(_xlfn.IFNA(VLOOKUP($B25,QuyDoi_DonVi!$C:$S,3,FALSE),0)*100/_xlfn.IFNA(VLOOKUP($B25,SOP_Banh!$C:$X,12,FALSE),0),0)-100</f>
        <v>-100</v>
      </c>
      <c r="L25" s="61">
        <f>IFERROR(_xlfn.IFNA(VLOOKUP($B25,QuyDoi_DonVi!$C:$S,5,FALSE),0)*100/(_xlfn.IFNA(VLOOKUP($B25,SOP_Banh!$C:$X,13,FALSE),0)*16)-100,0)</f>
        <v>-33.333333333333329</v>
      </c>
      <c r="M25" s="61">
        <f>IFERROR(_xlfn.IFNA(VLOOKUP($B25,QuyDoi_DonVi!$C:$S,4,FALSE),0)*100/_xlfn.IFNA(VLOOKUP($B25,SOP_Banh!$C:$X,14,FALSE),0),0)-100</f>
        <v>4.1666666666666714</v>
      </c>
      <c r="N25" s="61">
        <f>IFERROR(_xlfn.IFNA(VLOOKUP($B25,Dulieutho,ChiTiet!L$2,FALSE),0)*100/_xlfn.IFNA(VLOOKUP($B25,SOP_Banh!$C:$X,15,FALSE),0),0)-100</f>
        <v>1.5625</v>
      </c>
      <c r="O25" s="61">
        <f>IFERROR(_xlfn.IFNA(VLOOKUP($B25,Dulieutho,ChiTiet!AJ$2,FALSE),0)*192*100/_xlfn.IFNA(VLOOKUP($B25,SOP_Banh!$C:$X,16,FALSE),0)-100,0)</f>
        <v>-18.413597733711043</v>
      </c>
      <c r="P25" s="61">
        <f>IFERROR(_xlfn.IFNA(VLOOKUP($B25,Dulieutho,ChiTiet!AG$2,FALSE),0)*100/_xlfn.IFNA(VLOOKUP($B25,SOP_Nuoc!$C:$H,3,FALSE),0)-100,0)</f>
        <v>41.643059490084994</v>
      </c>
      <c r="Q25" s="63">
        <f>IFERROR(_xlfn.IFNA(VLOOKUP($B25,Dulieutho,ChiTiet!AH$2,FALSE),0)*3600*100/_xlfn.IFNA(VLOOKUP($B25,SOP_Banh!$C:$X,18,FALSE),0)-100,0)</f>
        <v>154.95750708215297</v>
      </c>
      <c r="R25" s="61">
        <f>IFERROR(_xlfn.IFNA(VLOOKUP($B25,QuyDoi_DonVi!$C:$S,17,FALSE),0)*100/_xlfn.IFNA(VLOOKUP($B25,SOP_Banh!$C:$X,19,FALSE),0),0)-100</f>
        <v>41.643059490084994</v>
      </c>
      <c r="S25" s="60">
        <f>_xlfn.IFNA(VLOOKUP($B25,SOP_Nuoc!$C:$W,19,FALSE),0)</f>
        <v>0</v>
      </c>
      <c r="T25" s="60">
        <f>IF(S25&lt;&gt;0,IFERROR(_xlfn.IFNA(VLOOKUP($B25,QuyDoi_DonVi!$C:$S,7,FALSE),0)*100/_xlfn.IFNA(VLOOKUP($B25,SOP_Nuoc!$C:$W,20,FALSE),0),0)-100,0)</f>
        <v>0</v>
      </c>
      <c r="U25" s="60">
        <f>_xlfn.IFNA(VLOOKUP($B25,QuyDoi_DonVi!$C:$S,10,FALSE),0)</f>
        <v>12</v>
      </c>
      <c r="V25" s="60">
        <f>_xlfn.IFNA(VLOOKUP($B25,QuyDoi_DonVi!$C:$S,8,FALSE),0)</f>
        <v>11</v>
      </c>
      <c r="W25" s="60">
        <f>_xlfn.IFNA(VLOOKUP($B25,Dulieutho,ChiTiet!S$2,FALSE),0)</f>
        <v>60</v>
      </c>
    </row>
    <row r="26" spans="1:23" ht="15.6">
      <c r="A26" s="10" t="s">
        <v>97</v>
      </c>
      <c r="B26" s="9" t="s">
        <v>140</v>
      </c>
      <c r="C26" s="11" t="s">
        <v>141</v>
      </c>
      <c r="D26" s="62">
        <f>IFERROR(SUM(_xlfn.IFNA(VLOOKUP($B26,Dulieutho,ChiTiet!J$2,FALSE),0),_xlfn.IFNA(VLOOKUP($B26,Dulieutho,ChiTiet!K$2,FALSE),0),_xlfn.IFNA(VLOOKUP($B26,Dulieutho,ChiTiet!AK$2,FALSE),0),_xlfn.IFNA(VLOOKUP($B26,Dulieutho,ChiTiet!AL$2,FALSE),0))*100/_xlfn.IFNA(VLOOKUP($B26,SOP_Banh!$C:$X,7,FALSE),0),0)-100</f>
        <v>-0.5714285714285694</v>
      </c>
      <c r="E26" s="61">
        <f>IFERROR(_xlfn.IFNA(VLOOKUP($B26,QuyDoi_DonVi!$C:$S,12,FALSE),0)*100/_xlfn.IFNA(VLOOKUP($B26,SOP_Banh!$C:$X,8,FALSE),0),0)-100</f>
        <v>23.583934088568483</v>
      </c>
      <c r="F26" s="61">
        <f>IFERROR(_xlfn.IFNA(VLOOKUP($B26,QuyDoi_DonVi!$C:$S,13,FALSE),0)*100/_xlfn.IFNA(VLOOKUP($B26,SOP_Banh!$C:$X,9,FALSE),0),0)-100</f>
        <v>7.6426264800861077</v>
      </c>
      <c r="G26" s="63">
        <f>IFERROR(_xlfn.IFNA(VLOOKUP($B26,Dulieutho,ChiTiet!Z$2,FALSE),0)*100/_xlfn.IFNA(VLOOKUP($B26,SOP_Banh!$C:$X,10,FALSE),0),0)-100</f>
        <v>-65.591397849462368</v>
      </c>
      <c r="H26" s="61">
        <f>IFERROR(SUM(_xlfn.IFNA(VLOOKUP($B26,Dulieutho,ChiTiet!AB$2,FALSE),0),_xlfn.IFNA(VLOOKUP($B26,Dulieutho,ChiTiet!AC$2,FALSE),0))*100/_xlfn.IFNA(VLOOKUP($B26,SOP_Banh!$C:$X,20,FALSE),0)-100,0)</f>
        <v>-25.714285714285708</v>
      </c>
      <c r="I26" s="61">
        <f>IFERROR(_xlfn.IFNA(VLOOKUP($B26,Dulieutho,ChiTiet!AF$2,FALSE),0)*100/_xlfn.IFNA(VLOOKUP($B26,SOP_Banh!$C:$X,21,FALSE),0)-100,0)</f>
        <v>-100</v>
      </c>
      <c r="J26" s="61">
        <f>IFERROR(_xlfn.IFNA(VLOOKUP($B26,Dulieutho,ChiTiet!AD$2,FALSE),0)*100/_xlfn.IFNA(VLOOKUP($B26,SOP_Banh!$C:$X,22,FALSE),0)-100,0)</f>
        <v>-100</v>
      </c>
      <c r="K26" s="61">
        <f>IFERROR(_xlfn.IFNA(VLOOKUP($B26,QuyDoi_DonVi!$C:$S,3,FALSE),0)*100/_xlfn.IFNA(VLOOKUP($B26,SOP_Banh!$C:$X,12,FALSE),0),0)-100</f>
        <v>177.77777777777777</v>
      </c>
      <c r="L26" s="61">
        <f>IFERROR(_xlfn.IFNA(VLOOKUP($B26,QuyDoi_DonVi!$C:$S,5,FALSE),0)*100/(_xlfn.IFNA(VLOOKUP($B26,SOP_Banh!$C:$X,13,FALSE),0)*16)-100,0)</f>
        <v>-40.74074074074074</v>
      </c>
      <c r="M26" s="61">
        <f>IFERROR(_xlfn.IFNA(VLOOKUP($B26,QuyDoi_DonVi!$C:$S,4,FALSE),0)*100/_xlfn.IFNA(VLOOKUP($B26,SOP_Banh!$C:$X,14,FALSE),0),0)-100</f>
        <v>-100</v>
      </c>
      <c r="N26" s="61">
        <f>IFERROR(_xlfn.IFNA(VLOOKUP($B26,Dulieutho,ChiTiet!L$2,FALSE),0)*100/_xlfn.IFNA(VLOOKUP($B26,SOP_Banh!$C:$X,15,FALSE),0),0)-100</f>
        <v>-27.083333333333329</v>
      </c>
      <c r="O26" s="61">
        <f>IFERROR(_xlfn.IFNA(VLOOKUP($B26,Dulieutho,ChiTiet!AJ$2,FALSE),0)*192*100/_xlfn.IFNA(VLOOKUP($B26,SOP_Banh!$C:$X,16,FALSE),0)-100,0)</f>
        <v>-15.707317073170728</v>
      </c>
      <c r="P26" s="61">
        <f>IFERROR(_xlfn.IFNA(VLOOKUP($B26,Dulieutho,ChiTiet!AG$2,FALSE),0)*100/_xlfn.IFNA(VLOOKUP($B26,SOP_Nuoc!$C:$H,3,FALSE),0)-100,0)</f>
        <v>-2.4390243902439011</v>
      </c>
      <c r="Q26" s="63">
        <f>IFERROR(_xlfn.IFNA(VLOOKUP($B26,Dulieutho,ChiTiet!AH$2,FALSE),0)*3600*100/_xlfn.IFNA(VLOOKUP($B26,SOP_Banh!$C:$X,18,FALSE),0)-100,0)</f>
        <v>-100</v>
      </c>
      <c r="R26" s="61">
        <f>IFERROR(_xlfn.IFNA(VLOOKUP($B26,QuyDoi_DonVi!$C:$S,17,FALSE),0)*100/_xlfn.IFNA(VLOOKUP($B26,SOP_Banh!$C:$X,19,FALSE),0),0)-100</f>
        <v>-2.4390243902439011</v>
      </c>
      <c r="S26" s="60">
        <f>_xlfn.IFNA(VLOOKUP($B26,SOP_Nuoc!$C:$W,19,FALSE),0)</f>
        <v>25</v>
      </c>
      <c r="T26" s="60">
        <f>IF(S26&lt;&gt;0,IFERROR(_xlfn.IFNA(VLOOKUP($B26,QuyDoi_DonVi!$C:$S,7,FALSE),0)*100/_xlfn.IFNA(VLOOKUP($B26,SOP_Nuoc!$C:$W,20,FALSE),0),0)-100,0)</f>
        <v>-56.000000000000007</v>
      </c>
      <c r="U26" s="60">
        <f>_xlfn.IFNA(VLOOKUP($B26,QuyDoi_DonVi!$C:$S,10,FALSE),0)</f>
        <v>0</v>
      </c>
      <c r="V26" s="60">
        <f>_xlfn.IFNA(VLOOKUP($B26,QuyDoi_DonVi!$C:$S,8,FALSE),0)</f>
        <v>3</v>
      </c>
      <c r="W26" s="60">
        <f>_xlfn.IFNA(VLOOKUP($B26,Dulieutho,ChiTiet!S$2,FALSE),0)</f>
        <v>12</v>
      </c>
    </row>
    <row r="27" spans="1:23" ht="15.6">
      <c r="A27" s="10" t="s">
        <v>97</v>
      </c>
      <c r="B27" s="9" t="s">
        <v>142</v>
      </c>
      <c r="C27" s="11" t="s">
        <v>143</v>
      </c>
      <c r="D27" s="62">
        <f>IFERROR(SUM(_xlfn.IFNA(VLOOKUP($B27,Dulieutho,ChiTiet!J$2,FALSE),0),_xlfn.IFNA(VLOOKUP($B27,Dulieutho,ChiTiet!K$2,FALSE),0),_xlfn.IFNA(VLOOKUP($B27,Dulieutho,ChiTiet!AK$2,FALSE),0),_xlfn.IFNA(VLOOKUP($B27,Dulieutho,ChiTiet!AL$2,FALSE),0))*100/_xlfn.IFNA(VLOOKUP($B27,SOP_Banh!$C:$X,7,FALSE),0),0)-100</f>
        <v>18.020304568527919</v>
      </c>
      <c r="E27" s="61">
        <f>IFERROR(_xlfn.IFNA(VLOOKUP($B27,QuyDoi_DonVi!$C:$S,12,FALSE),0)*100/_xlfn.IFNA(VLOOKUP($B27,SOP_Banh!$C:$X,8,FALSE),0),0)-100</f>
        <v>76.991150442477874</v>
      </c>
      <c r="F27" s="61">
        <f>IFERROR(_xlfn.IFNA(VLOOKUP($B27,QuyDoi_DonVi!$C:$S,13,FALSE),0)*100/_xlfn.IFNA(VLOOKUP($B27,SOP_Banh!$C:$X,9,FALSE),0),0)-100</f>
        <v>-11.894273127753308</v>
      </c>
      <c r="G27" s="63">
        <f>IFERROR(_xlfn.IFNA(VLOOKUP($B27,Dulieutho,ChiTiet!Z$2,FALSE),0)*100/_xlfn.IFNA(VLOOKUP($B27,SOP_Banh!$C:$X,10,FALSE),0),0)-100</f>
        <v>128.57142857142858</v>
      </c>
      <c r="H27" s="61">
        <f>IFERROR(SUM(_xlfn.IFNA(VLOOKUP($B27,Dulieutho,ChiTiet!AB$2,FALSE),0),_xlfn.IFNA(VLOOKUP($B27,Dulieutho,ChiTiet!AC$2,FALSE),0))*100/_xlfn.IFNA(VLOOKUP($B27,SOP_Banh!$C:$X,20,FALSE),0)-100,0)</f>
        <v>-30.203045685279193</v>
      </c>
      <c r="I27" s="61">
        <f>IFERROR(_xlfn.IFNA(VLOOKUP($B27,Dulieutho,ChiTiet!AF$2,FALSE),0)*100/_xlfn.IFNA(VLOOKUP($B27,SOP_Banh!$C:$X,21,FALSE),0)-100,0)</f>
        <v>-13.793103448275858</v>
      </c>
      <c r="J27" s="61">
        <f>IFERROR(_xlfn.IFNA(VLOOKUP($B27,Dulieutho,ChiTiet!AD$2,FALSE),0)*100/_xlfn.IFNA(VLOOKUP($B27,SOP_Banh!$C:$X,22,FALSE),0)-100,0)</f>
        <v>-16.666666666666671</v>
      </c>
      <c r="K27" s="61">
        <f>IFERROR(_xlfn.IFNA(VLOOKUP($B27,QuyDoi_DonVi!$C:$S,3,FALSE),0)*100/_xlfn.IFNA(VLOOKUP($B27,SOP_Banh!$C:$X,12,FALSE),0),0)-100</f>
        <v>150</v>
      </c>
      <c r="L27" s="61">
        <f>IFERROR(_xlfn.IFNA(VLOOKUP($B27,QuyDoi_DonVi!$C:$S,5,FALSE),0)*100/(_xlfn.IFNA(VLOOKUP($B27,SOP_Banh!$C:$X,13,FALSE),0)*16)-100,0)</f>
        <v>-46.666666666666664</v>
      </c>
      <c r="M27" s="61">
        <f>IFERROR(_xlfn.IFNA(VLOOKUP($B27,QuyDoi_DonVi!$C:$S,4,FALSE),0)*100/_xlfn.IFNA(VLOOKUP($B27,SOP_Banh!$C:$X,14,FALSE),0),0)-100</f>
        <v>66.666666666666657</v>
      </c>
      <c r="N27" s="61">
        <f>IFERROR(_xlfn.IFNA(VLOOKUP($B27,Dulieutho,ChiTiet!L$2,FALSE),0)*100/_xlfn.IFNA(VLOOKUP($B27,SOP_Banh!$C:$X,15,FALSE),0),0)-100</f>
        <v>12.068965517241381</v>
      </c>
      <c r="O27" s="61">
        <f>IFERROR(_xlfn.IFNA(VLOOKUP($B27,Dulieutho,ChiTiet!AJ$2,FALSE),0)*192*100/_xlfn.IFNA(VLOOKUP($B27,SOP_Banh!$C:$X,16,FALSE),0)-100,0)</f>
        <v>-6.25</v>
      </c>
      <c r="P27" s="61">
        <f>IFERROR(_xlfn.IFNA(VLOOKUP($B27,Dulieutho,ChiTiet!AG$2,FALSE),0)*100/_xlfn.IFNA(VLOOKUP($B27,SOP_Nuoc!$C:$H,3,FALSE),0)-100,0)</f>
        <v>-2.34375</v>
      </c>
      <c r="Q27" s="63">
        <f>IFERROR(_xlfn.IFNA(VLOOKUP($B27,Dulieutho,ChiTiet!AH$2,FALSE),0)*3600*100/_xlfn.IFNA(VLOOKUP($B27,SOP_Banh!$C:$X,18,FALSE),0)-100,0)</f>
        <v>-100</v>
      </c>
      <c r="R27" s="61">
        <f>IFERROR(_xlfn.IFNA(VLOOKUP($B27,QuyDoi_DonVi!$C:$S,17,FALSE),0)*100/_xlfn.IFNA(VLOOKUP($B27,SOP_Banh!$C:$X,19,FALSE),0),0)-100</f>
        <v>-2.34375</v>
      </c>
      <c r="S27" s="60">
        <f>_xlfn.IFNA(VLOOKUP($B27,SOP_Nuoc!$C:$W,19,FALSE),0)</f>
        <v>25</v>
      </c>
      <c r="T27" s="60">
        <f>IF(S27&lt;&gt;0,IFERROR(_xlfn.IFNA(VLOOKUP($B27,QuyDoi_DonVi!$C:$S,7,FALSE),0)*100/_xlfn.IFNA(VLOOKUP($B27,SOP_Nuoc!$C:$W,20,FALSE),0),0)-100,0)</f>
        <v>-78</v>
      </c>
      <c r="U27" s="60">
        <f>_xlfn.IFNA(VLOOKUP($B27,QuyDoi_DonVi!$C:$S,10,FALSE),0)</f>
        <v>12</v>
      </c>
      <c r="V27" s="60">
        <f>_xlfn.IFNA(VLOOKUP($B27,QuyDoi_DonVi!$C:$S,8,FALSE),0)</f>
        <v>6</v>
      </c>
      <c r="W27" s="60">
        <f>_xlfn.IFNA(VLOOKUP($B27,Dulieutho,ChiTiet!S$2,FALSE),0)</f>
        <v>48</v>
      </c>
    </row>
    <row r="28" spans="1:23" ht="15.6">
      <c r="A28" s="10" t="s">
        <v>97</v>
      </c>
      <c r="B28" s="9" t="s">
        <v>144</v>
      </c>
      <c r="C28" s="11" t="s">
        <v>145</v>
      </c>
      <c r="D28" s="62">
        <f>IFERROR(SUM(_xlfn.IFNA(VLOOKUP($B28,Dulieutho,ChiTiet!J$2,FALSE),0),_xlfn.IFNA(VLOOKUP($B28,Dulieutho,ChiTiet!K$2,FALSE),0),_xlfn.IFNA(VLOOKUP($B28,Dulieutho,ChiTiet!AK$2,FALSE),0),_xlfn.IFNA(VLOOKUP($B28,Dulieutho,ChiTiet!AL$2,FALSE),0))*100/_xlfn.IFNA(VLOOKUP($B28,SOP_Banh!$C:$X,7,FALSE),0),0)-100</f>
        <v>299.7867803837953</v>
      </c>
      <c r="E28" s="61">
        <f>IFERROR(_xlfn.IFNA(VLOOKUP($B28,QuyDoi_DonVi!$C:$S,12,FALSE),0)*100/_xlfn.IFNA(VLOOKUP($B28,SOP_Banh!$C:$X,8,FALSE),0),0)-100</f>
        <v>54.142581888246639</v>
      </c>
      <c r="F28" s="61">
        <f>IFERROR(_xlfn.IFNA(VLOOKUP($B28,QuyDoi_DonVi!$C:$S,13,FALSE),0)*100/_xlfn.IFNA(VLOOKUP($B28,SOP_Banh!$C:$X,9,FALSE),0),0)-100</f>
        <v>10.905730129390022</v>
      </c>
      <c r="G28" s="63">
        <f>IFERROR(_xlfn.IFNA(VLOOKUP($B28,Dulieutho,ChiTiet!Z$2,FALSE),0)*100/_xlfn.IFNA(VLOOKUP($B28,SOP_Banh!$C:$X,10,FALSE),0),0)-100</f>
        <v>265.71428571428572</v>
      </c>
      <c r="H28" s="61">
        <f>IFERROR(SUM(_xlfn.IFNA(VLOOKUP($B28,Dulieutho,ChiTiet!AB$2,FALSE),0),_xlfn.IFNA(VLOOKUP($B28,Dulieutho,ChiTiet!AC$2,FALSE),0))*100/_xlfn.IFNA(VLOOKUP($B28,SOP_Banh!$C:$X,20,FALSE),0)-100,0)</f>
        <v>-100</v>
      </c>
      <c r="I28" s="61">
        <f>IFERROR(_xlfn.IFNA(VLOOKUP($B28,Dulieutho,ChiTiet!AF$2,FALSE),0)*100/_xlfn.IFNA(VLOOKUP($B28,SOP_Banh!$C:$X,21,FALSE),0)-100,0)</f>
        <v>0</v>
      </c>
      <c r="J28" s="61">
        <f>IFERROR(_xlfn.IFNA(VLOOKUP($B28,Dulieutho,ChiTiet!AD$2,FALSE),0)*100/_xlfn.IFNA(VLOOKUP($B28,SOP_Banh!$C:$X,22,FALSE),0)-100,0)</f>
        <v>-100</v>
      </c>
      <c r="K28" s="61">
        <f>IFERROR(_xlfn.IFNA(VLOOKUP($B28,QuyDoi_DonVi!$C:$S,3,FALSE),0)*100/_xlfn.IFNA(VLOOKUP($B28,SOP_Banh!$C:$X,12,FALSE),0),0)-100</f>
        <v>-30.555555555555557</v>
      </c>
      <c r="L28" s="61">
        <f>IFERROR(_xlfn.IFNA(VLOOKUP($B28,QuyDoi_DonVi!$C:$S,5,FALSE),0)*100/(_xlfn.IFNA(VLOOKUP($B28,SOP_Banh!$C:$X,13,FALSE),0)*16)-100,0)</f>
        <v>-77.777777777777771</v>
      </c>
      <c r="M28" s="61">
        <f>IFERROR(_xlfn.IFNA(VLOOKUP($B28,QuyDoi_DonVi!$C:$S,4,FALSE),0)*100/_xlfn.IFNA(VLOOKUP($B28,SOP_Banh!$C:$X,14,FALSE),0),0)-100</f>
        <v>38.888888888888886</v>
      </c>
      <c r="N28" s="61">
        <f>IFERROR(_xlfn.IFNA(VLOOKUP($B28,Dulieutho,ChiTiet!L$2,FALSE),0)*100/_xlfn.IFNA(VLOOKUP($B28,SOP_Banh!$C:$X,15,FALSE),0),0)-100</f>
        <v>300</v>
      </c>
      <c r="O28" s="61">
        <f>IFERROR(_xlfn.IFNA(VLOOKUP($B28,Dulieutho,ChiTiet!AJ$2,FALSE),0)*192*100/_xlfn.IFNA(VLOOKUP($B28,SOP_Banh!$C:$X,16,FALSE),0)-100,0)</f>
        <v>-2.538071065989854</v>
      </c>
      <c r="P28" s="61">
        <f>IFERROR(_xlfn.IFNA(VLOOKUP($B28,Dulieutho,ChiTiet!AG$2,FALSE),0)*100/_xlfn.IFNA(VLOOKUP($B28,SOP_Nuoc!$C:$H,3,FALSE),0)-100,0)</f>
        <v>-15.397631133671737</v>
      </c>
      <c r="Q28" s="63">
        <f>IFERROR(_xlfn.IFNA(VLOOKUP($B28,Dulieutho,ChiTiet!AH$2,FALSE),0)*3600*100/_xlfn.IFNA(VLOOKUP($B28,SOP_Banh!$C:$X,18,FALSE),0)-100,0)</f>
        <v>204.56852791878174</v>
      </c>
      <c r="R28" s="61">
        <f>IFERROR(_xlfn.IFNA(VLOOKUP($B28,QuyDoi_DonVi!$C:$S,17,FALSE),0)*100/_xlfn.IFNA(VLOOKUP($B28,SOP_Banh!$C:$X,19,FALSE),0),0)-100</f>
        <v>-15.397631133671737</v>
      </c>
      <c r="S28" s="60">
        <f>_xlfn.IFNA(VLOOKUP($B28,SOP_Nuoc!$C:$W,19,FALSE),0)</f>
        <v>25</v>
      </c>
      <c r="T28" s="60">
        <f>IF(S28&lt;&gt;0,IFERROR(_xlfn.IFNA(VLOOKUP($B28,QuyDoi_DonVi!$C:$S,7,FALSE),0)*100/_xlfn.IFNA(VLOOKUP($B28,SOP_Nuoc!$C:$W,20,FALSE),0),0)-100,0)</f>
        <v>-78</v>
      </c>
      <c r="U28" s="60">
        <f>_xlfn.IFNA(VLOOKUP($B28,QuyDoi_DonVi!$C:$S,10,FALSE),0)</f>
        <v>24</v>
      </c>
      <c r="V28" s="60">
        <f>_xlfn.IFNA(VLOOKUP($B28,QuyDoi_DonVi!$C:$S,8,FALSE),0)</f>
        <v>4</v>
      </c>
      <c r="W28" s="60">
        <f>_xlfn.IFNA(VLOOKUP($B28,Dulieutho,ChiTiet!S$2,FALSE),0)</f>
        <v>60</v>
      </c>
    </row>
    <row r="29" spans="1:23" ht="15.6">
      <c r="A29" s="10" t="s">
        <v>97</v>
      </c>
      <c r="B29" s="9" t="s">
        <v>146</v>
      </c>
      <c r="C29" s="11" t="s">
        <v>147</v>
      </c>
      <c r="D29" s="62">
        <f>IFERROR(SUM(_xlfn.IFNA(VLOOKUP($B29,Dulieutho,ChiTiet!J$2,FALSE),0),_xlfn.IFNA(VLOOKUP($B29,Dulieutho,ChiTiet!K$2,FALSE),0),_xlfn.IFNA(VLOOKUP($B29,Dulieutho,ChiTiet!AK$2,FALSE),0),_xlfn.IFNA(VLOOKUP($B29,Dulieutho,ChiTiet!AL$2,FALSE),0))*100/_xlfn.IFNA(VLOOKUP($B29,SOP_Banh!$C:$X,7,FALSE),0),0)-100</f>
        <v>3.5911602209944817</v>
      </c>
      <c r="E29" s="61">
        <f>IFERROR(_xlfn.IFNA(VLOOKUP($B29,QuyDoi_DonVi!$C:$S,12,FALSE),0)*100/_xlfn.IFNA(VLOOKUP($B29,SOP_Banh!$C:$X,8,FALSE),0),0)-100</f>
        <v>46.341463414634148</v>
      </c>
      <c r="F29" s="61">
        <f>IFERROR(_xlfn.IFNA(VLOOKUP($B29,QuyDoi_DonVi!$C:$S,13,FALSE),0)*100/_xlfn.IFNA(VLOOKUP($B29,SOP_Banh!$C:$X,9,FALSE),0),0)-100</f>
        <v>8.6956521739130466</v>
      </c>
      <c r="G29" s="63">
        <f>IFERROR(_xlfn.IFNA(VLOOKUP($B29,Dulieutho,ChiTiet!Z$2,FALSE),0)*100/_xlfn.IFNA(VLOOKUP($B29,SOP_Banh!$C:$X,10,FALSE),0),0)-100</f>
        <v>66.666666666666657</v>
      </c>
      <c r="H29" s="61">
        <f>IFERROR(SUM(_xlfn.IFNA(VLOOKUP($B29,Dulieutho,ChiTiet!AB$2,FALSE),0),_xlfn.IFNA(VLOOKUP($B29,Dulieutho,ChiTiet!AC$2,FALSE),0))*100/_xlfn.IFNA(VLOOKUP($B29,SOP_Banh!$C:$X,20,FALSE),0)-100,0)</f>
        <v>-44.751381215469614</v>
      </c>
      <c r="I29" s="61">
        <f>IFERROR(_xlfn.IFNA(VLOOKUP($B29,Dulieutho,ChiTiet!AF$2,FALSE),0)*100/_xlfn.IFNA(VLOOKUP($B29,SOP_Banh!$C:$X,21,FALSE),0)-100,0)</f>
        <v>4.1666666666666714</v>
      </c>
      <c r="J29" s="61">
        <f>IFERROR(_xlfn.IFNA(VLOOKUP($B29,Dulieutho,ChiTiet!AD$2,FALSE),0)*100/_xlfn.IFNA(VLOOKUP($B29,SOP_Banh!$C:$X,22,FALSE),0)-100,0)</f>
        <v>-100</v>
      </c>
      <c r="K29" s="61">
        <f>IFERROR(_xlfn.IFNA(VLOOKUP($B29,QuyDoi_DonVi!$C:$S,3,FALSE),0)*100/_xlfn.IFNA(VLOOKUP($B29,SOP_Banh!$C:$X,12,FALSE),0),0)-100</f>
        <v>-100</v>
      </c>
      <c r="L29" s="61">
        <f>IFERROR(_xlfn.IFNA(VLOOKUP($B29,QuyDoi_DonVi!$C:$S,5,FALSE),0)*100/(_xlfn.IFNA(VLOOKUP($B29,SOP_Banh!$C:$X,13,FALSE),0)*16)-100,0)</f>
        <v>-100</v>
      </c>
      <c r="M29" s="61">
        <f>IFERROR(_xlfn.IFNA(VLOOKUP($B29,QuyDoi_DonVi!$C:$S,4,FALSE),0)*100/_xlfn.IFNA(VLOOKUP($B29,SOP_Banh!$C:$X,14,FALSE),0),0)-100</f>
        <v>-100</v>
      </c>
      <c r="N29" s="61">
        <f>IFERROR(_xlfn.IFNA(VLOOKUP($B29,Dulieutho,ChiTiet!L$2,FALSE),0)*100/_xlfn.IFNA(VLOOKUP($B29,SOP_Banh!$C:$X,15,FALSE),0),0)-100</f>
        <v>4.1666666666666714</v>
      </c>
      <c r="O29" s="61">
        <f>IFERROR(_xlfn.IFNA(VLOOKUP($B29,Dulieutho,ChiTiet!AJ$2,FALSE),0)*192*100/_xlfn.IFNA(VLOOKUP($B29,SOP_Banh!$C:$X,16,FALSE),0)-100,0)</f>
        <v>-53.846153846153847</v>
      </c>
      <c r="P29" s="61">
        <f>IFERROR(_xlfn.IFNA(VLOOKUP($B29,Dulieutho,ChiTiet!AG$2,FALSE),0)*100/_xlfn.IFNA(VLOOKUP($B29,SOP_Nuoc!$C:$H,3,FALSE),0)-100,0)</f>
        <v>20.192307692307693</v>
      </c>
      <c r="Q29" s="63">
        <f>IFERROR(_xlfn.IFNA(VLOOKUP($B29,Dulieutho,ChiTiet!AH$2,FALSE),0)*3600*100/_xlfn.IFNA(VLOOKUP($B29,SOP_Banh!$C:$X,18,FALSE),0)-100,0)</f>
        <v>-100</v>
      </c>
      <c r="R29" s="61">
        <f>IFERROR(_xlfn.IFNA(VLOOKUP($B29,QuyDoi_DonVi!$C:$S,17,FALSE),0)*100/_xlfn.IFNA(VLOOKUP($B29,SOP_Banh!$C:$X,19,FALSE),0),0)-100</f>
        <v>20.192307692307693</v>
      </c>
      <c r="S29" s="60">
        <f>_xlfn.IFNA(VLOOKUP($B29,SOP_Nuoc!$C:$W,19,FALSE),0)</f>
        <v>0</v>
      </c>
      <c r="T29" s="60">
        <f>IF(S29&lt;&gt;0,IFERROR(_xlfn.IFNA(VLOOKUP($B29,QuyDoi_DonVi!$C:$S,7,FALSE),0)*100/_xlfn.IFNA(VLOOKUP($B29,SOP_Nuoc!$C:$W,20,FALSE),0),0)-100,0)</f>
        <v>0</v>
      </c>
      <c r="U29" s="60">
        <f>_xlfn.IFNA(VLOOKUP($B29,QuyDoi_DonVi!$C:$S,10,FALSE),0)</f>
        <v>0</v>
      </c>
      <c r="V29" s="60">
        <f>_xlfn.IFNA(VLOOKUP($B29,QuyDoi_DonVi!$C:$S,8,FALSE),0)</f>
        <v>5.5</v>
      </c>
      <c r="W29" s="60">
        <f>_xlfn.IFNA(VLOOKUP($B29,Dulieutho,ChiTiet!S$2,FALSE),0)</f>
        <v>36</v>
      </c>
    </row>
    <row r="30" spans="1:23" ht="15.6">
      <c r="A30" s="10" t="s">
        <v>97</v>
      </c>
      <c r="B30" s="9" t="s">
        <v>148</v>
      </c>
      <c r="C30" s="11" t="s">
        <v>149</v>
      </c>
      <c r="D30" s="62">
        <f>IFERROR(SUM(_xlfn.IFNA(VLOOKUP($B30,Dulieutho,ChiTiet!J$2,FALSE),0),_xlfn.IFNA(VLOOKUP($B30,Dulieutho,ChiTiet!K$2,FALSE),0),_xlfn.IFNA(VLOOKUP($B30,Dulieutho,ChiTiet!AK$2,FALSE),0),_xlfn.IFNA(VLOOKUP($B30,Dulieutho,ChiTiet!AL$2,FALSE),0))*100/_xlfn.IFNA(VLOOKUP($B30,SOP_Banh!$C:$X,7,FALSE),0),0)-100</f>
        <v>-34.87394957983193</v>
      </c>
      <c r="E30" s="61">
        <f>IFERROR(_xlfn.IFNA(VLOOKUP($B30,QuyDoi_DonVi!$C:$S,12,FALSE),0)*100/_xlfn.IFNA(VLOOKUP($B30,SOP_Banh!$C:$X,8,FALSE),0),0)-100</f>
        <v>29.533678756476689</v>
      </c>
      <c r="F30" s="61">
        <f>IFERROR(_xlfn.IFNA(VLOOKUP($B30,QuyDoi_DonVi!$C:$S,13,FALSE),0)*100/_xlfn.IFNA(VLOOKUP($B30,SOP_Banh!$C:$X,9,FALSE),0),0)-100</f>
        <v>-48.717948717948715</v>
      </c>
      <c r="G30" s="63">
        <f>IFERROR(_xlfn.IFNA(VLOOKUP($B30,Dulieutho,ChiTiet!Z$2,FALSE),0)*100/_xlfn.IFNA(VLOOKUP($B30,SOP_Banh!$C:$X,10,FALSE),0),0)-100</f>
        <v>134.66666666666666</v>
      </c>
      <c r="H30" s="61">
        <f>IFERROR(SUM(_xlfn.IFNA(VLOOKUP($B30,Dulieutho,ChiTiet!AB$2,FALSE),0),_xlfn.IFNA(VLOOKUP($B30,Dulieutho,ChiTiet!AC$2,FALSE),0))*100/_xlfn.IFNA(VLOOKUP($B30,SOP_Banh!$C:$X,20,FALSE),0)-100,0)</f>
        <v>-47.478991596638657</v>
      </c>
      <c r="I30" s="61">
        <f>IFERROR(_xlfn.IFNA(VLOOKUP($B30,Dulieutho,ChiTiet!AF$2,FALSE),0)*100/_xlfn.IFNA(VLOOKUP($B30,SOP_Banh!$C:$X,21,FALSE),0)-100,0)</f>
        <v>72.413793103448285</v>
      </c>
      <c r="J30" s="61">
        <f>IFERROR(_xlfn.IFNA(VLOOKUP($B30,Dulieutho,ChiTiet!AD$2,FALSE),0)*100/_xlfn.IFNA(VLOOKUP($B30,SOP_Banh!$C:$X,22,FALSE),0)-100,0)</f>
        <v>-24.242424242424249</v>
      </c>
      <c r="K30" s="61">
        <f>IFERROR(_xlfn.IFNA(VLOOKUP($B30,QuyDoi_DonVi!$C:$S,3,FALSE),0)*100/_xlfn.IFNA(VLOOKUP($B30,SOP_Banh!$C:$X,12,FALSE),0),0)-100</f>
        <v>-100</v>
      </c>
      <c r="L30" s="61">
        <f>IFERROR(_xlfn.IFNA(VLOOKUP($B30,QuyDoi_DonVi!$C:$S,5,FALSE),0)*100/(_xlfn.IFNA(VLOOKUP($B30,SOP_Banh!$C:$X,13,FALSE),0)*16)-100,0)</f>
        <v>-51.515151515151516</v>
      </c>
      <c r="M30" s="61">
        <f>IFERROR(_xlfn.IFNA(VLOOKUP($B30,QuyDoi_DonVi!$C:$S,4,FALSE),0)*100/_xlfn.IFNA(VLOOKUP($B30,SOP_Banh!$C:$X,14,FALSE),0),0)-100</f>
        <v>51.515151515151501</v>
      </c>
      <c r="N30" s="61">
        <f>IFERROR(_xlfn.IFNA(VLOOKUP($B30,Dulieutho,ChiTiet!L$2,FALSE),0)*100/_xlfn.IFNA(VLOOKUP($B30,SOP_Banh!$C:$X,15,FALSE),0),0)-100</f>
        <v>12.068965517241381</v>
      </c>
      <c r="O30" s="61">
        <f>IFERROR(_xlfn.IFNA(VLOOKUP($B30,Dulieutho,ChiTiet!AJ$2,FALSE),0)*192*100/_xlfn.IFNA(VLOOKUP($B30,SOP_Banh!$C:$X,16,FALSE),0)-100,0)</f>
        <v>3.1026252983293574</v>
      </c>
      <c r="P30" s="61">
        <f>IFERROR(_xlfn.IFNA(VLOOKUP($B30,Dulieutho,ChiTiet!AG$2,FALSE),0)*100/_xlfn.IFNA(VLOOKUP($B30,SOP_Nuoc!$C:$H,3,FALSE),0)-100,0)</f>
        <v>78.997613365155132</v>
      </c>
      <c r="Q30" s="63">
        <f>IFERROR(_xlfn.IFNA(VLOOKUP($B30,Dulieutho,ChiTiet!AH$2,FALSE),0)*3600*100/_xlfn.IFNA(VLOOKUP($B30,SOP_Banh!$C:$X,18,FALSE),0)-100,0)</f>
        <v>114.79713603818615</v>
      </c>
      <c r="R30" s="61">
        <f>IFERROR(_xlfn.IFNA(VLOOKUP($B30,QuyDoi_DonVi!$C:$S,17,FALSE),0)*100/_xlfn.IFNA(VLOOKUP($B30,SOP_Banh!$C:$X,19,FALSE),0),0)-100</f>
        <v>78.997613365155132</v>
      </c>
      <c r="S30" s="60">
        <f>_xlfn.IFNA(VLOOKUP($B30,SOP_Nuoc!$C:$W,19,FALSE),0)</f>
        <v>0</v>
      </c>
      <c r="T30" s="60">
        <f>IF(S30&lt;&gt;0,IFERROR(_xlfn.IFNA(VLOOKUP($B30,QuyDoi_DonVi!$C:$S,7,FALSE),0)*100/_xlfn.IFNA(VLOOKUP($B30,SOP_Nuoc!$C:$W,20,FALSE),0),0)-100,0)</f>
        <v>0</v>
      </c>
      <c r="U30" s="60">
        <f>_xlfn.IFNA(VLOOKUP($B30,QuyDoi_DonVi!$C:$S,10,FALSE),0)</f>
        <v>0</v>
      </c>
      <c r="V30" s="60">
        <f>_xlfn.IFNA(VLOOKUP($B30,QuyDoi_DonVi!$C:$S,8,FALSE),0)</f>
        <v>0</v>
      </c>
      <c r="W30" s="60">
        <f>_xlfn.IFNA(VLOOKUP($B30,Dulieutho,ChiTiet!S$2,FALSE),0)</f>
        <v>72</v>
      </c>
    </row>
    <row r="31" spans="1:23" ht="15.6">
      <c r="A31" s="10" t="s">
        <v>97</v>
      </c>
      <c r="B31" s="9" t="s">
        <v>150</v>
      </c>
      <c r="C31" s="11" t="s">
        <v>151</v>
      </c>
      <c r="D31" s="62">
        <f>IFERROR(SUM(_xlfn.IFNA(VLOOKUP($B31,Dulieutho,ChiTiet!J$2,FALSE),0),_xlfn.IFNA(VLOOKUP($B31,Dulieutho,ChiTiet!K$2,FALSE),0),_xlfn.IFNA(VLOOKUP($B31,Dulieutho,ChiTiet!AK$2,FALSE),0),_xlfn.IFNA(VLOOKUP($B31,Dulieutho,ChiTiet!AL$2,FALSE),0))*100/_xlfn.IFNA(VLOOKUP($B31,SOP_Banh!$C:$X,7,FALSE),0),0)-100</f>
        <v>-18.250950570342212</v>
      </c>
      <c r="E31" s="61">
        <f>IFERROR(_xlfn.IFNA(VLOOKUP($B31,QuyDoi_DonVi!$C:$S,12,FALSE),0)*100/_xlfn.IFNA(VLOOKUP($B31,SOP_Banh!$C:$X,8,FALSE),0),0)-100</f>
        <v>53.67727771679472</v>
      </c>
      <c r="F31" s="61">
        <f>IFERROR(_xlfn.IFNA(VLOOKUP($B31,QuyDoi_DonVi!$C:$S,13,FALSE),0)*100/_xlfn.IFNA(VLOOKUP($B31,SOP_Banh!$C:$X,9,FALSE),0),0)-100</f>
        <v>-75.031210986267169</v>
      </c>
      <c r="G31" s="63">
        <f>IFERROR(_xlfn.IFNA(VLOOKUP($B31,Dulieutho,ChiTiet!Z$2,FALSE),0)*100/_xlfn.IFNA(VLOOKUP($B31,SOP_Banh!$C:$X,10,FALSE),0),0)-100</f>
        <v>159.45945945945948</v>
      </c>
      <c r="H31" s="61">
        <f>IFERROR(SUM(_xlfn.IFNA(VLOOKUP($B31,Dulieutho,ChiTiet!AB$2,FALSE),0),_xlfn.IFNA(VLOOKUP($B31,Dulieutho,ChiTiet!AC$2,FALSE),0))*100/_xlfn.IFNA(VLOOKUP($B31,SOP_Banh!$C:$X,20,FALSE),0)-100,0)</f>
        <v>-71.482889733840295</v>
      </c>
      <c r="I31" s="61">
        <f>IFERROR(_xlfn.IFNA(VLOOKUP($B31,Dulieutho,ChiTiet!AF$2,FALSE),0)*100/_xlfn.IFNA(VLOOKUP($B31,SOP_Banh!$C:$X,21,FALSE),0)-100,0)</f>
        <v>22.950819672131146</v>
      </c>
      <c r="J31" s="61">
        <f>IFERROR(_xlfn.IFNA(VLOOKUP($B31,Dulieutho,ChiTiet!AD$2,FALSE),0)*100/_xlfn.IFNA(VLOOKUP($B31,SOP_Banh!$C:$X,22,FALSE),0)-100,0)</f>
        <v>316.66666666666669</v>
      </c>
      <c r="K31" s="61">
        <f>IFERROR(_xlfn.IFNA(VLOOKUP($B31,QuyDoi_DonVi!$C:$S,3,FALSE),0)*100/_xlfn.IFNA(VLOOKUP($B31,SOP_Banh!$C:$X,12,FALSE),0),0)-100</f>
        <v>1150</v>
      </c>
      <c r="L31" s="61">
        <f>IFERROR(_xlfn.IFNA(VLOOKUP($B31,QuyDoi_DonVi!$C:$S,5,FALSE),0)*100/(_xlfn.IFNA(VLOOKUP($B31,SOP_Banh!$C:$X,13,FALSE),0)*16)-100,0)</f>
        <v>300</v>
      </c>
      <c r="M31" s="61">
        <f>IFERROR(_xlfn.IFNA(VLOOKUP($B31,QuyDoi_DonVi!$C:$S,4,FALSE),0)*100/_xlfn.IFNA(VLOOKUP($B31,SOP_Banh!$C:$X,14,FALSE),0),0)-100</f>
        <v>-100</v>
      </c>
      <c r="N31" s="61">
        <f>IFERROR(_xlfn.IFNA(VLOOKUP($B31,Dulieutho,ChiTiet!L$2,FALSE),0)*100/_xlfn.IFNA(VLOOKUP($B31,SOP_Banh!$C:$X,15,FALSE),0),0)-100</f>
        <v>-42.622950819672134</v>
      </c>
      <c r="O31" s="61">
        <f>IFERROR(_xlfn.IFNA(VLOOKUP($B31,Dulieutho,ChiTiet!AJ$2,FALSE),0)*192*100/_xlfn.IFNA(VLOOKUP($B31,SOP_Banh!$C:$X,16,FALSE),0)-100,0)</f>
        <v>-68.797399783315285</v>
      </c>
      <c r="P31" s="61">
        <f>IFERROR(_xlfn.IFNA(VLOOKUP($B31,Dulieutho,ChiTiet!AG$2,FALSE),0)*100/_xlfn.IFNA(VLOOKUP($B31,SOP_Nuoc!$C:$H,3,FALSE),0)-100,0)</f>
        <v>62.513542795232922</v>
      </c>
      <c r="Q31" s="63">
        <f>IFERROR(_xlfn.IFNA(VLOOKUP($B31,Dulieutho,ChiTiet!AH$2,FALSE),0)*3600*100/_xlfn.IFNA(VLOOKUP($B31,SOP_Banh!$C:$X,18,FALSE),0)-100,0)</f>
        <v>95.016251354279518</v>
      </c>
      <c r="R31" s="61">
        <f>IFERROR(_xlfn.IFNA(VLOOKUP($B31,QuyDoi_DonVi!$C:$S,17,FALSE),0)*100/_xlfn.IFNA(VLOOKUP($B31,SOP_Banh!$C:$X,19,FALSE),0),0)-100</f>
        <v>62.513542795232922</v>
      </c>
      <c r="S31" s="60">
        <f>_xlfn.IFNA(VLOOKUP($B31,SOP_Nuoc!$C:$W,19,FALSE),0)</f>
        <v>0</v>
      </c>
      <c r="T31" s="60">
        <f>IF(S31&lt;&gt;0,IFERROR(_xlfn.IFNA(VLOOKUP($B31,QuyDoi_DonVi!$C:$S,7,FALSE),0)*100/_xlfn.IFNA(VLOOKUP($B31,SOP_Nuoc!$C:$W,20,FALSE),0),0)-100,0)</f>
        <v>0</v>
      </c>
      <c r="U31" s="60">
        <f>_xlfn.IFNA(VLOOKUP($B31,QuyDoi_DonVi!$C:$S,10,FALSE),0)</f>
        <v>0</v>
      </c>
      <c r="V31" s="60">
        <f>_xlfn.IFNA(VLOOKUP($B31,QuyDoi_DonVi!$C:$S,8,FALSE),0)</f>
        <v>0</v>
      </c>
      <c r="W31" s="60">
        <f>_xlfn.IFNA(VLOOKUP($B31,Dulieutho,ChiTiet!S$2,FALSE),0)</f>
        <v>48</v>
      </c>
    </row>
    <row r="32" spans="1:23" ht="15.6">
      <c r="A32" s="10" t="s">
        <v>97</v>
      </c>
      <c r="B32" s="9" t="s">
        <v>152</v>
      </c>
      <c r="C32" s="11" t="s">
        <v>153</v>
      </c>
      <c r="D32" s="62">
        <f>IFERROR(SUM(_xlfn.IFNA(VLOOKUP($B32,Dulieutho,ChiTiet!J$2,FALSE),0),_xlfn.IFNA(VLOOKUP($B32,Dulieutho,ChiTiet!K$2,FALSE),0),_xlfn.IFNA(VLOOKUP($B32,Dulieutho,ChiTiet!AK$2,FALSE),0),_xlfn.IFNA(VLOOKUP($B32,Dulieutho,ChiTiet!AL$2,FALSE),0))*100/_xlfn.IFNA(VLOOKUP($B32,SOP_Banh!$C:$X,7,FALSE),0),0)-100</f>
        <v>10.679611650485441</v>
      </c>
      <c r="E32" s="61">
        <f>IFERROR(_xlfn.IFNA(VLOOKUP($B32,QuyDoi_DonVi!$C:$S,12,FALSE),0)*100/_xlfn.IFNA(VLOOKUP($B32,SOP_Banh!$C:$X,8,FALSE),0),0)-100</f>
        <v>46.788990825688074</v>
      </c>
      <c r="F32" s="61">
        <f>IFERROR(_xlfn.IFNA(VLOOKUP($B32,QuyDoi_DonVi!$C:$S,13,FALSE),0)*100/_xlfn.IFNA(VLOOKUP($B32,SOP_Banh!$C:$X,9,FALSE),0),0)-100</f>
        <v>-41.747572815533978</v>
      </c>
      <c r="G32" s="63">
        <f>IFERROR(_xlfn.IFNA(VLOOKUP($B32,Dulieutho,ChiTiet!Z$2,FALSE),0)*100/_xlfn.IFNA(VLOOKUP($B32,SOP_Banh!$C:$X,10,FALSE),0),0)-100</f>
        <v>28.735632183908052</v>
      </c>
      <c r="H32" s="61">
        <f>IFERROR(SUM(_xlfn.IFNA(VLOOKUP($B32,Dulieutho,ChiTiet!AB$2,FALSE),0),_xlfn.IFNA(VLOOKUP($B32,Dulieutho,ChiTiet!AC$2,FALSE),0))*100/_xlfn.IFNA(VLOOKUP($B32,SOP_Banh!$C:$X,20,FALSE),0)-100,0)</f>
        <v>-27.184466019417471</v>
      </c>
      <c r="I32" s="61">
        <f>IFERROR(_xlfn.IFNA(VLOOKUP($B32,Dulieutho,ChiTiet!AF$2,FALSE),0)*100/_xlfn.IFNA(VLOOKUP($B32,SOP_Banh!$C:$X,21,FALSE),0)-100,0)</f>
        <v>66.666666666666657</v>
      </c>
      <c r="J32" s="61">
        <f>IFERROR(_xlfn.IFNA(VLOOKUP($B32,Dulieutho,ChiTiet!AD$2,FALSE),0)*100/_xlfn.IFNA(VLOOKUP($B32,SOP_Banh!$C:$X,22,FALSE),0)-100,0)</f>
        <v>0</v>
      </c>
      <c r="K32" s="61">
        <f>IFERROR(_xlfn.IFNA(VLOOKUP($B32,QuyDoi_DonVi!$C:$S,3,FALSE),0)*100/_xlfn.IFNA(VLOOKUP($B32,SOP_Banh!$C:$X,12,FALSE),0),0)-100</f>
        <v>-100</v>
      </c>
      <c r="L32" s="61">
        <f>IFERROR(_xlfn.IFNA(VLOOKUP($B32,QuyDoi_DonVi!$C:$S,5,FALSE),0)*100/(_xlfn.IFNA(VLOOKUP($B32,SOP_Banh!$C:$X,13,FALSE),0)*16)-100,0)</f>
        <v>0</v>
      </c>
      <c r="M32" s="61">
        <f>IFERROR(_xlfn.IFNA(VLOOKUP($B32,QuyDoi_DonVi!$C:$S,4,FALSE),0)*100/_xlfn.IFNA(VLOOKUP($B32,SOP_Banh!$C:$X,14,FALSE),0),0)-100</f>
        <v>-100</v>
      </c>
      <c r="N32" s="61">
        <f>IFERROR(_xlfn.IFNA(VLOOKUP($B32,Dulieutho,ChiTiet!L$2,FALSE),0)*100/_xlfn.IFNA(VLOOKUP($B32,SOP_Banh!$C:$X,15,FALSE),0),0)-100</f>
        <v>-16.666666666666671</v>
      </c>
      <c r="O32" s="61">
        <f>IFERROR(_xlfn.IFNA(VLOOKUP($B32,Dulieutho,ChiTiet!AJ$2,FALSE),0)*192*100/_xlfn.IFNA(VLOOKUP($B32,SOP_Banh!$C:$X,16,FALSE),0)-100,0)</f>
        <v>-29.541284403669721</v>
      </c>
      <c r="P32" s="61">
        <f>IFERROR(_xlfn.IFNA(VLOOKUP($B32,Dulieutho,ChiTiet!AG$2,FALSE),0)*100/_xlfn.IFNA(VLOOKUP($B32,SOP_Nuoc!$C:$H,3,FALSE),0)-100,0)</f>
        <v>-8.2568807339449535</v>
      </c>
      <c r="Q32" s="63">
        <f>IFERROR(_xlfn.IFNA(VLOOKUP($B32,Dulieutho,ChiTiet!AH$2,FALSE),0)*3600*100/_xlfn.IFNA(VLOOKUP($B32,SOP_Banh!$C:$X,18,FALSE),0)-100,0)</f>
        <v>-100</v>
      </c>
      <c r="R32" s="61">
        <f>IFERROR(_xlfn.IFNA(VLOOKUP($B32,QuyDoi_DonVi!$C:$S,17,FALSE),0)*100/_xlfn.IFNA(VLOOKUP($B32,SOP_Banh!$C:$X,19,FALSE),0),0)-100</f>
        <v>-8.2568807339449535</v>
      </c>
      <c r="S32" s="60">
        <f>_xlfn.IFNA(VLOOKUP($B32,SOP_Nuoc!$C:$W,19,FALSE),0)</f>
        <v>25</v>
      </c>
      <c r="T32" s="60">
        <f>IF(S32&lt;&gt;0,IFERROR(_xlfn.IFNA(VLOOKUP($B32,QuyDoi_DonVi!$C:$S,7,FALSE),0)*100/_xlfn.IFNA(VLOOKUP($B32,SOP_Nuoc!$C:$W,20,FALSE),0),0)-100,0)</f>
        <v>-78</v>
      </c>
      <c r="U32" s="60">
        <f>_xlfn.IFNA(VLOOKUP($B32,QuyDoi_DonVi!$C:$S,10,FALSE),0)</f>
        <v>12</v>
      </c>
      <c r="V32" s="60">
        <f>_xlfn.IFNA(VLOOKUP($B32,QuyDoi_DonVi!$C:$S,8,FALSE),0)</f>
        <v>0</v>
      </c>
      <c r="W32" s="60">
        <f>_xlfn.IFNA(VLOOKUP($B32,Dulieutho,ChiTiet!S$2,FALSE),0)</f>
        <v>84</v>
      </c>
    </row>
    <row r="33" spans="1:23" ht="15.6">
      <c r="A33" s="10" t="s">
        <v>97</v>
      </c>
      <c r="B33" s="9" t="s">
        <v>154</v>
      </c>
      <c r="C33" s="11" t="s">
        <v>155</v>
      </c>
      <c r="D33" s="62">
        <f>IFERROR(SUM(_xlfn.IFNA(VLOOKUP($B33,Dulieutho,ChiTiet!J$2,FALSE),0),_xlfn.IFNA(VLOOKUP($B33,Dulieutho,ChiTiet!K$2,FALSE),0),_xlfn.IFNA(VLOOKUP($B33,Dulieutho,ChiTiet!AK$2,FALSE),0),_xlfn.IFNA(VLOOKUP($B33,Dulieutho,ChiTiet!AL$2,FALSE),0))*100/_xlfn.IFNA(VLOOKUP($B33,SOP_Banh!$C:$X,7,FALSE),0),0)-100</f>
        <v>-6.9518716577540118</v>
      </c>
      <c r="E33" s="61">
        <f>IFERROR(_xlfn.IFNA(VLOOKUP($B33,QuyDoi_DonVi!$C:$S,12,FALSE),0)*100/_xlfn.IFNA(VLOOKUP($B33,SOP_Banh!$C:$X,8,FALSE),0),0)-100</f>
        <v>75.609756097560989</v>
      </c>
      <c r="F33" s="61">
        <f>IFERROR(_xlfn.IFNA(VLOOKUP($B33,QuyDoi_DonVi!$C:$S,13,FALSE),0)*100/_xlfn.IFNA(VLOOKUP($B33,SOP_Banh!$C:$X,9,FALSE),0),0)-100</f>
        <v>23.222748815165872</v>
      </c>
      <c r="G33" s="63">
        <f>IFERROR(_xlfn.IFNA(VLOOKUP($B33,Dulieutho,ChiTiet!Z$2,FALSE),0)*100/_xlfn.IFNA(VLOOKUP($B33,SOP_Banh!$C:$X,10,FALSE),0),0)-100</f>
        <v>23.07692307692308</v>
      </c>
      <c r="H33" s="61">
        <f>IFERROR(SUM(_xlfn.IFNA(VLOOKUP($B33,Dulieutho,ChiTiet!AB$2,FALSE),0),_xlfn.IFNA(VLOOKUP($B33,Dulieutho,ChiTiet!AC$2,FALSE),0))*100/_xlfn.IFNA(VLOOKUP($B33,SOP_Banh!$C:$X,20,FALSE),0)-100,0)</f>
        <v>-38.502673796791441</v>
      </c>
      <c r="I33" s="61">
        <f>IFERROR(_xlfn.IFNA(VLOOKUP($B33,Dulieutho,ChiTiet!AF$2,FALSE),0)*100/_xlfn.IFNA(VLOOKUP($B33,SOP_Banh!$C:$X,21,FALSE),0)-100,0)</f>
        <v>11.111111111111114</v>
      </c>
      <c r="J33" s="61">
        <f>IFERROR(_xlfn.IFNA(VLOOKUP($B33,Dulieutho,ChiTiet!AD$2,FALSE),0)*100/_xlfn.IFNA(VLOOKUP($B33,SOP_Banh!$C:$X,22,FALSE),0)-100,0)</f>
        <v>25</v>
      </c>
      <c r="K33" s="61">
        <f>IFERROR(_xlfn.IFNA(VLOOKUP($B33,QuyDoi_DonVi!$C:$S,3,FALSE),0)*100/_xlfn.IFNA(VLOOKUP($B33,SOP_Banh!$C:$X,12,FALSE),0),0)-100</f>
        <v>-16.666666666666671</v>
      </c>
      <c r="L33" s="61">
        <f>IFERROR(_xlfn.IFNA(VLOOKUP($B33,QuyDoi_DonVi!$C:$S,5,FALSE),0)*100/(_xlfn.IFNA(VLOOKUP($B33,SOP_Banh!$C:$X,13,FALSE),0)*16)-100,0)</f>
        <v>-46.666666666666664</v>
      </c>
      <c r="M33" s="61">
        <f>IFERROR(_xlfn.IFNA(VLOOKUP($B33,QuyDoi_DonVi!$C:$S,4,FALSE),0)*100/_xlfn.IFNA(VLOOKUP($B33,SOP_Banh!$C:$X,14,FALSE),0),0)-100</f>
        <v>-16.666666666666671</v>
      </c>
      <c r="N33" s="61">
        <f>IFERROR(_xlfn.IFNA(VLOOKUP($B33,Dulieutho,ChiTiet!L$2,FALSE),0)*100/_xlfn.IFNA(VLOOKUP($B33,SOP_Banh!$C:$X,15,FALSE),0),0)-100</f>
        <v>0</v>
      </c>
      <c r="O33" s="61">
        <f>IFERROR(_xlfn.IFNA(VLOOKUP($B33,Dulieutho,ChiTiet!AJ$2,FALSE),0)*192*100/_xlfn.IFNA(VLOOKUP($B33,SOP_Banh!$C:$X,16,FALSE),0)-100,0)</f>
        <v>-49.694323144104807</v>
      </c>
      <c r="P33" s="61">
        <f>IFERROR(_xlfn.IFNA(VLOOKUP($B33,Dulieutho,ChiTiet!AG$2,FALSE),0)*100/_xlfn.IFNA(VLOOKUP($B33,SOP_Nuoc!$C:$H,3,FALSE),0)-100,0)</f>
        <v>-12.663755458515283</v>
      </c>
      <c r="Q33" s="63">
        <f>IFERROR(_xlfn.IFNA(VLOOKUP($B33,Dulieutho,ChiTiet!AH$2,FALSE),0)*3600*100/_xlfn.IFNA(VLOOKUP($B33,SOP_Banh!$C:$X,18,FALSE),0)-100,0)</f>
        <v>57.205240174672497</v>
      </c>
      <c r="R33" s="61">
        <f>IFERROR(_xlfn.IFNA(VLOOKUP($B33,QuyDoi_DonVi!$C:$S,17,FALSE),0)*100/_xlfn.IFNA(VLOOKUP($B33,SOP_Banh!$C:$X,19,FALSE),0),0)-100</f>
        <v>-12.663755458515283</v>
      </c>
      <c r="S33" s="60">
        <f>_xlfn.IFNA(VLOOKUP($B33,SOP_Nuoc!$C:$W,19,FALSE),0)</f>
        <v>25</v>
      </c>
      <c r="T33" s="60">
        <f>IF(S33&lt;&gt;0,IFERROR(_xlfn.IFNA(VLOOKUP($B33,QuyDoi_DonVi!$C:$S,7,FALSE),0)*100/_xlfn.IFNA(VLOOKUP($B33,SOP_Nuoc!$C:$W,20,FALSE),0),0)-100,0)</f>
        <v>-12.000000000000014</v>
      </c>
      <c r="U33" s="60">
        <f>_xlfn.IFNA(VLOOKUP($B33,QuyDoi_DonVi!$C:$S,10,FALSE),0)</f>
        <v>24</v>
      </c>
      <c r="V33" s="60">
        <f>_xlfn.IFNA(VLOOKUP($B33,QuyDoi_DonVi!$C:$S,8,FALSE),0)</f>
        <v>15</v>
      </c>
      <c r="W33" s="60">
        <f>_xlfn.IFNA(VLOOKUP($B33,Dulieutho,ChiTiet!S$2,FALSE),0)</f>
        <v>72</v>
      </c>
    </row>
    <row r="34" spans="1:23" ht="15.6">
      <c r="A34" s="10" t="s">
        <v>97</v>
      </c>
      <c r="B34" s="9" t="s">
        <v>156</v>
      </c>
      <c r="C34" s="11" t="s">
        <v>157</v>
      </c>
      <c r="D34" s="62">
        <f>IFERROR(SUM(_xlfn.IFNA(VLOOKUP($B34,Dulieutho,ChiTiet!J$2,FALSE),0),_xlfn.IFNA(VLOOKUP($B34,Dulieutho,ChiTiet!K$2,FALSE),0),_xlfn.IFNA(VLOOKUP($B34,Dulieutho,ChiTiet!AK$2,FALSE),0),_xlfn.IFNA(VLOOKUP($B34,Dulieutho,ChiTiet!AL$2,FALSE),0))*100/_xlfn.IFNA(VLOOKUP($B34,SOP_Banh!$C:$X,7,FALSE),0),0)-100</f>
        <v>51.079136690647488</v>
      </c>
      <c r="E34" s="61">
        <f>IFERROR(_xlfn.IFNA(VLOOKUP($B34,QuyDoi_DonVi!$C:$S,12,FALSE),0)*100/_xlfn.IFNA(VLOOKUP($B34,SOP_Banh!$C:$X,8,FALSE),0),0)-100</f>
        <v>27.388535031847127</v>
      </c>
      <c r="F34" s="61">
        <f>IFERROR(_xlfn.IFNA(VLOOKUP($B34,QuyDoi_DonVi!$C:$S,13,FALSE),0)*100/_xlfn.IFNA(VLOOKUP($B34,SOP_Banh!$C:$X,9,FALSE),0),0)-100</f>
        <v>-100</v>
      </c>
      <c r="G34" s="63">
        <f>IFERROR(_xlfn.IFNA(VLOOKUP($B34,Dulieutho,ChiTiet!Z$2,FALSE),0)*100/_xlfn.IFNA(VLOOKUP($B34,SOP_Banh!$C:$X,10,FALSE),0),0)-100</f>
        <v>-100</v>
      </c>
      <c r="H34" s="61">
        <f>IFERROR(SUM(_xlfn.IFNA(VLOOKUP($B34,Dulieutho,ChiTiet!AB$2,FALSE),0),_xlfn.IFNA(VLOOKUP($B34,Dulieutho,ChiTiet!AC$2,FALSE),0))*100/_xlfn.IFNA(VLOOKUP($B34,SOP_Banh!$C:$X,20,FALSE),0)-100,0)</f>
        <v>-100</v>
      </c>
      <c r="I34" s="61">
        <f>IFERROR(_xlfn.IFNA(VLOOKUP($B34,Dulieutho,ChiTiet!AF$2,FALSE),0)*100/_xlfn.IFNA(VLOOKUP($B34,SOP_Banh!$C:$X,21,FALSE),0)-100,0)</f>
        <v>-100</v>
      </c>
      <c r="J34" s="61">
        <f>IFERROR(_xlfn.IFNA(VLOOKUP($B34,Dulieutho,ChiTiet!AD$2,FALSE),0)*100/_xlfn.IFNA(VLOOKUP($B34,SOP_Banh!$C:$X,22,FALSE),0)-100,0)</f>
        <v>-100</v>
      </c>
      <c r="K34" s="61">
        <f>IFERROR(_xlfn.IFNA(VLOOKUP($B34,QuyDoi_DonVi!$C:$S,3,FALSE),0)*100/_xlfn.IFNA(VLOOKUP($B34,SOP_Banh!$C:$X,12,FALSE),0),0)-100</f>
        <v>-100</v>
      </c>
      <c r="L34" s="61">
        <f>IFERROR(_xlfn.IFNA(VLOOKUP($B34,QuyDoi_DonVi!$C:$S,5,FALSE),0)*100/(_xlfn.IFNA(VLOOKUP($B34,SOP_Banh!$C:$X,13,FALSE),0)*16)-100,0)</f>
        <v>-100</v>
      </c>
      <c r="M34" s="61">
        <f>IFERROR(_xlfn.IFNA(VLOOKUP($B34,QuyDoi_DonVi!$C:$S,4,FALSE),0)*100/_xlfn.IFNA(VLOOKUP($B34,SOP_Banh!$C:$X,14,FALSE),0),0)-100</f>
        <v>-100</v>
      </c>
      <c r="N34" s="61">
        <f>IFERROR(_xlfn.IFNA(VLOOKUP($B34,Dulieutho,ChiTiet!L$2,FALSE),0)*100/_xlfn.IFNA(VLOOKUP($B34,SOP_Banh!$C:$X,15,FALSE),0),0)-100</f>
        <v>-16.666666666666671</v>
      </c>
      <c r="O34" s="61">
        <f>IFERROR(_xlfn.IFNA(VLOOKUP($B34,Dulieutho,ChiTiet!AJ$2,FALSE),0)*192*100/_xlfn.IFNA(VLOOKUP($B34,SOP_Banh!$C:$X,16,FALSE),0)-100,0)</f>
        <v>-46.961325966850829</v>
      </c>
      <c r="P34" s="61">
        <f>IFERROR(_xlfn.IFNA(VLOOKUP($B34,Dulieutho,ChiTiet!AG$2,FALSE),0)*100/_xlfn.IFNA(VLOOKUP($B34,SOP_Nuoc!$C:$H,3,FALSE),0)-100,0)</f>
        <v>-100</v>
      </c>
      <c r="Q34" s="63">
        <f>IFERROR(_xlfn.IFNA(VLOOKUP($B34,Dulieutho,ChiTiet!AH$2,FALSE),0)*3600*100/_xlfn.IFNA(VLOOKUP($B34,SOP_Banh!$C:$X,18,FALSE),0)-100,0)</f>
        <v>-100</v>
      </c>
      <c r="R34" s="61">
        <f>IFERROR(_xlfn.IFNA(VLOOKUP($B34,QuyDoi_DonVi!$C:$S,17,FALSE),0)*100/_xlfn.IFNA(VLOOKUP($B34,SOP_Banh!$C:$X,19,FALSE),0),0)-100</f>
        <v>-100</v>
      </c>
      <c r="S34" s="60">
        <f>_xlfn.IFNA(VLOOKUP($B34,SOP_Nuoc!$C:$W,19,FALSE),0)</f>
        <v>0</v>
      </c>
      <c r="T34" s="60">
        <f>IF(S34&lt;&gt;0,IFERROR(_xlfn.IFNA(VLOOKUP($B34,QuyDoi_DonVi!$C:$S,7,FALSE),0)*100/_xlfn.IFNA(VLOOKUP($B34,SOP_Nuoc!$C:$W,20,FALSE),0),0)-100,0)</f>
        <v>0</v>
      </c>
      <c r="U34" s="60">
        <f>_xlfn.IFNA(VLOOKUP($B34,QuyDoi_DonVi!$C:$S,10,FALSE),0)</f>
        <v>0</v>
      </c>
      <c r="V34" s="60">
        <f>_xlfn.IFNA(VLOOKUP($B34,QuyDoi_DonVi!$C:$S,8,FALSE),0)</f>
        <v>2</v>
      </c>
      <c r="W34" s="60">
        <f>_xlfn.IFNA(VLOOKUP($B34,Dulieutho,ChiTiet!S$2,FALSE),0)</f>
        <v>12</v>
      </c>
    </row>
    <row r="35" spans="1:23" ht="15.6">
      <c r="A35" s="10" t="s">
        <v>93</v>
      </c>
      <c r="B35" s="9" t="s">
        <v>158</v>
      </c>
      <c r="C35" s="11" t="s">
        <v>159</v>
      </c>
      <c r="D35" s="62">
        <f>IFERROR(SUM(_xlfn.IFNA(VLOOKUP($B35,Dulieutho,ChiTiet!J$2,FALSE),0),_xlfn.IFNA(VLOOKUP($B35,Dulieutho,ChiTiet!K$2,FALSE),0),_xlfn.IFNA(VLOOKUP($B35,Dulieutho,ChiTiet!AK$2,FALSE),0),_xlfn.IFNA(VLOOKUP($B35,Dulieutho,ChiTiet!AL$2,FALSE),0))*100/_xlfn.IFNA(VLOOKUP($B35,SOP_Banh!$C:$X,7,FALSE),0),0)-100</f>
        <v>6.6782307025151795</v>
      </c>
      <c r="E35" s="61">
        <f>IFERROR(_xlfn.IFNA(VLOOKUP($B35,QuyDoi_DonVi!$C:$S,12,FALSE),0)*100/_xlfn.IFNA(VLOOKUP($B35,SOP_Banh!$C:$X,8,FALSE),0),0)-100</f>
        <v>34.629768137621539</v>
      </c>
      <c r="F35" s="61">
        <f>IFERROR(_xlfn.IFNA(VLOOKUP($B35,QuyDoi_DonVi!$C:$S,13,FALSE),0)*100/_xlfn.IFNA(VLOOKUP($B35,SOP_Banh!$C:$X,9,FALSE),0),0)-100</f>
        <v>-54.163483575248279</v>
      </c>
      <c r="G35" s="63">
        <f>IFERROR(_xlfn.IFNA(VLOOKUP($B35,Dulieutho,ChiTiet!Z$2,FALSE),0)*100/_xlfn.IFNA(VLOOKUP($B35,SOP_Banh!$C:$X,10,FALSE),0),0)-100</f>
        <v>-30.054644808743163</v>
      </c>
      <c r="H35" s="61">
        <f>IFERROR(SUM(_xlfn.IFNA(VLOOKUP($B35,Dulieutho,ChiTiet!AB$2,FALSE),0),_xlfn.IFNA(VLOOKUP($B35,Dulieutho,ChiTiet!AC$2,FALSE),0))*100/_xlfn.IFNA(VLOOKUP($B35,SOP_Banh!$C:$X,20,FALSE),0)-100,0)</f>
        <v>-47.961838681699916</v>
      </c>
      <c r="I35" s="61">
        <f>IFERROR(_xlfn.IFNA(VLOOKUP($B35,Dulieutho,ChiTiet!AF$2,FALSE),0)*100/_xlfn.IFNA(VLOOKUP($B35,SOP_Banh!$C:$X,21,FALSE),0)-100,0)</f>
        <v>-18.478260869565219</v>
      </c>
      <c r="J35" s="61">
        <f>IFERROR(_xlfn.IFNA(VLOOKUP($B35,Dulieutho,ChiTiet!AD$2,FALSE),0)*100/_xlfn.IFNA(VLOOKUP($B35,SOP_Banh!$C:$X,22,FALSE),0)-100,0)</f>
        <v>-3.8461538461538396</v>
      </c>
      <c r="K35" s="61">
        <f>IFERROR(_xlfn.IFNA(VLOOKUP($B35,QuyDoi_DonVi!$C:$S,3,FALSE),0)*100/_xlfn.IFNA(VLOOKUP($B35,SOP_Banh!$C:$X,12,FALSE),0),0)-100</f>
        <v>60.256410256410248</v>
      </c>
      <c r="L35" s="61">
        <f>IFERROR(_xlfn.IFNA(VLOOKUP($B35,QuyDoi_DonVi!$C:$S,5,FALSE),0)*100/(_xlfn.IFNA(VLOOKUP($B35,SOP_Banh!$C:$X,13,FALSE),0)*16)-100,0)</f>
        <v>-38.46153846153846</v>
      </c>
      <c r="M35" s="61">
        <f>IFERROR(_xlfn.IFNA(VLOOKUP($B35,QuyDoi_DonVi!$C:$S,4,FALSE),0)*100/_xlfn.IFNA(VLOOKUP($B35,SOP_Banh!$C:$X,14,FALSE),0),0)-100</f>
        <v>28.205128205128204</v>
      </c>
      <c r="N35" s="61">
        <f>IFERROR(_xlfn.IFNA(VLOOKUP($B35,Dulieutho,ChiTiet!L$2,FALSE),0)*100/_xlfn.IFNA(VLOOKUP($B35,SOP_Banh!$C:$X,15,FALSE),0),0)-100</f>
        <v>-10.326086956521735</v>
      </c>
      <c r="O35" s="61">
        <f>IFERROR(_xlfn.IFNA(VLOOKUP($B35,Dulieutho,ChiTiet!AJ$2,FALSE),0)*192*100/_xlfn.IFNA(VLOOKUP($B35,SOP_Banh!$C:$X,16,FALSE),0)-100,0)</f>
        <v>-9.9799062290689875</v>
      </c>
      <c r="P35" s="61">
        <f>IFERROR(_xlfn.IFNA(VLOOKUP($B35,Dulieutho,ChiTiet!AG$2,FALSE),0)*100/_xlfn.IFNA(VLOOKUP($B35,SOP_Nuoc!$C:$H,3,FALSE),0)-100,0)</f>
        <v>0.46885465505692991</v>
      </c>
      <c r="Q35" s="63">
        <f>IFERROR(_xlfn.IFNA(VLOOKUP($B35,Dulieutho,ChiTiet!AH$2,FALSE),0)*3600*100/_xlfn.IFNA(VLOOKUP($B35,SOP_Banh!$C:$X,18,FALSE),0)-100,0)</f>
        <v>20.562625586068322</v>
      </c>
      <c r="R35" s="61">
        <f>IFERROR(_xlfn.IFNA(VLOOKUP($B35,QuyDoi_DonVi!$C:$S,17,FALSE),0)*100/_xlfn.IFNA(VLOOKUP($B35,SOP_Banh!$C:$X,19,FALSE),0),0)-100</f>
        <v>0.46885465505692991</v>
      </c>
      <c r="S35" s="60">
        <f>_xlfn.IFNA(VLOOKUP($B35,SOP_Nuoc!$C:$W,19,FALSE),0)</f>
        <v>25</v>
      </c>
      <c r="T35" s="60">
        <f>IF(S35&lt;&gt;0,IFERROR(_xlfn.IFNA(VLOOKUP($B35,QuyDoi_DonVi!$C:$S,7,FALSE),0)*100/_xlfn.IFNA(VLOOKUP($B35,SOP_Nuoc!$C:$W,20,FALSE),0),0)-100,0)</f>
        <v>9.9999999999999858</v>
      </c>
      <c r="U35" s="60">
        <f>_xlfn.IFNA(VLOOKUP($B35,QuyDoi_DonVi!$C:$S,10,FALSE),0)</f>
        <v>48</v>
      </c>
      <c r="V35" s="60">
        <f>_xlfn.IFNA(VLOOKUP($B35,QuyDoi_DonVi!$C:$S,8,FALSE),0)</f>
        <v>2</v>
      </c>
      <c r="W35" s="60">
        <f>_xlfn.IFNA(VLOOKUP($B35,Dulieutho,ChiTiet!S$2,FALSE),0)</f>
        <v>60</v>
      </c>
    </row>
    <row r="36" spans="1:23" ht="15.6">
      <c r="A36" s="10" t="s">
        <v>93</v>
      </c>
      <c r="B36" s="9" t="s">
        <v>160</v>
      </c>
      <c r="C36" s="11" t="s">
        <v>161</v>
      </c>
      <c r="D36" s="62">
        <f>IFERROR(SUM(_xlfn.IFNA(VLOOKUP($B36,Dulieutho,ChiTiet!J$2,FALSE),0),_xlfn.IFNA(VLOOKUP($B36,Dulieutho,ChiTiet!K$2,FALSE),0),_xlfn.IFNA(VLOOKUP($B36,Dulieutho,ChiTiet!AK$2,FALSE),0),_xlfn.IFNA(VLOOKUP($B36,Dulieutho,ChiTiet!AL$2,FALSE),0))*100/_xlfn.IFNA(VLOOKUP($B36,SOP_Banh!$C:$X,7,FALSE),0),0)-100</f>
        <v>9.114811568799297</v>
      </c>
      <c r="E36" s="61">
        <f>IFERROR(_xlfn.IFNA(VLOOKUP($B36,QuyDoi_DonVi!$C:$S,12,FALSE),0)*100/_xlfn.IFNA(VLOOKUP($B36,SOP_Banh!$C:$X,8,FALSE),0),0)-100</f>
        <v>35.236664162284001</v>
      </c>
      <c r="F36" s="61">
        <f>IFERROR(_xlfn.IFNA(VLOOKUP($B36,QuyDoi_DonVi!$C:$S,13,FALSE),0)*100/_xlfn.IFNA(VLOOKUP($B36,SOP_Banh!$C:$X,9,FALSE),0),0)-100</f>
        <v>-49.537426408746846</v>
      </c>
      <c r="G36" s="63">
        <f>IFERROR(_xlfn.IFNA(VLOOKUP($B36,Dulieutho,ChiTiet!Z$2,FALSE),0)*100/_xlfn.IFNA(VLOOKUP($B36,SOP_Banh!$C:$X,10,FALSE),0),0)-100</f>
        <v>37.634408602150529</v>
      </c>
      <c r="H36" s="61">
        <f>IFERROR(SUM(_xlfn.IFNA(VLOOKUP($B36,Dulieutho,ChiTiet!AB$2,FALSE),0),_xlfn.IFNA(VLOOKUP($B36,Dulieutho,ChiTiet!AC$2,FALSE),0))*100/_xlfn.IFNA(VLOOKUP($B36,SOP_Banh!$C:$X,20,FALSE),0)-100,0)</f>
        <v>-23.312883435582819</v>
      </c>
      <c r="I36" s="61">
        <f>IFERROR(_xlfn.IFNA(VLOOKUP($B36,Dulieutho,ChiTiet!AF$2,FALSE),0)*100/_xlfn.IFNA(VLOOKUP($B36,SOP_Banh!$C:$X,21,FALSE),0)-100,0)</f>
        <v>5.2631578947368354</v>
      </c>
      <c r="J36" s="61">
        <f>IFERROR(_xlfn.IFNA(VLOOKUP($B36,Dulieutho,ChiTiet!AD$2,FALSE),0)*100/_xlfn.IFNA(VLOOKUP($B36,SOP_Banh!$C:$X,22,FALSE),0)-100,0)</f>
        <v>-100</v>
      </c>
      <c r="K36" s="61">
        <f>IFERROR(_xlfn.IFNA(VLOOKUP($B36,QuyDoi_DonVi!$C:$S,3,FALSE),0)*100/_xlfn.IFNA(VLOOKUP($B36,SOP_Banh!$C:$X,12,FALSE),0),0)-100</f>
        <v>4.1666666666666714</v>
      </c>
      <c r="L36" s="61">
        <f>IFERROR(_xlfn.IFNA(VLOOKUP($B36,QuyDoi_DonVi!$C:$S,5,FALSE),0)*100/(_xlfn.IFNA(VLOOKUP($B36,SOP_Banh!$C:$X,13,FALSE),0)*16)-100,0)</f>
        <v>0</v>
      </c>
      <c r="M36" s="61">
        <f>IFERROR(_xlfn.IFNA(VLOOKUP($B36,QuyDoi_DonVi!$C:$S,4,FALSE),0)*100/_xlfn.IFNA(VLOOKUP($B36,SOP_Banh!$C:$X,14,FALSE),0),0)-100</f>
        <v>108.33333333333334</v>
      </c>
      <c r="N36" s="61">
        <f>IFERROR(_xlfn.IFNA(VLOOKUP($B36,Dulieutho,ChiTiet!L$2,FALSE),0)*100/_xlfn.IFNA(VLOOKUP($B36,SOP_Banh!$C:$X,15,FALSE),0),0)-100</f>
        <v>-5.2631578947368354</v>
      </c>
      <c r="O36" s="61">
        <f>IFERROR(_xlfn.IFNA(VLOOKUP($B36,Dulieutho,ChiTiet!AJ$2,FALSE),0)*192*100/_xlfn.IFNA(VLOOKUP($B36,SOP_Banh!$C:$X,16,FALSE),0)-100,0)</f>
        <v>-2.538071065989854</v>
      </c>
      <c r="P36" s="61">
        <f>IFERROR(_xlfn.IFNA(VLOOKUP($B36,Dulieutho,ChiTiet!AG$2,FALSE),0)*100/_xlfn.IFNA(VLOOKUP($B36,SOP_Nuoc!$C:$H,3,FALSE),0)-100,0)</f>
        <v>-27.483683828861487</v>
      </c>
      <c r="Q36" s="63">
        <f>IFERROR(_xlfn.IFNA(VLOOKUP($B36,Dulieutho,ChiTiet!AH$2,FALSE),0)*3600*100/_xlfn.IFNA(VLOOKUP($B36,SOP_Banh!$C:$X,18,FALSE),0)-100,0)</f>
        <v>161.05873821609862</v>
      </c>
      <c r="R36" s="61">
        <f>IFERROR(_xlfn.IFNA(VLOOKUP($B36,QuyDoi_DonVi!$C:$S,17,FALSE),0)*100/_xlfn.IFNA(VLOOKUP($B36,SOP_Banh!$C:$X,19,FALSE),0),0)-100</f>
        <v>-27.483683828861487</v>
      </c>
      <c r="S36" s="60">
        <f>_xlfn.IFNA(VLOOKUP($B36,SOP_Nuoc!$C:$W,19,FALSE),0)</f>
        <v>25</v>
      </c>
      <c r="T36" s="60">
        <f>IF(S36&lt;&gt;0,IFERROR(_xlfn.IFNA(VLOOKUP($B36,QuyDoi_DonVi!$C:$S,7,FALSE),0)*100/_xlfn.IFNA(VLOOKUP($B36,SOP_Nuoc!$C:$W,20,FALSE),0),0)-100,0)</f>
        <v>-34</v>
      </c>
      <c r="U36" s="60">
        <f>_xlfn.IFNA(VLOOKUP($B36,QuyDoi_DonVi!$C:$S,10,FALSE),0)</f>
        <v>24</v>
      </c>
      <c r="V36" s="60">
        <f>_xlfn.IFNA(VLOOKUP($B36,QuyDoi_DonVi!$C:$S,8,FALSE),0)</f>
        <v>16</v>
      </c>
      <c r="W36" s="60">
        <f>_xlfn.IFNA(VLOOKUP($B36,Dulieutho,ChiTiet!S$2,FALSE),0)</f>
        <v>108</v>
      </c>
    </row>
    <row r="37" spans="1:23" ht="15.6">
      <c r="A37" s="10" t="s">
        <v>93</v>
      </c>
      <c r="B37" s="9" t="s">
        <v>162</v>
      </c>
      <c r="C37" s="11" t="s">
        <v>163</v>
      </c>
      <c r="D37" s="62">
        <f>IFERROR(SUM(_xlfn.IFNA(VLOOKUP($B37,Dulieutho,ChiTiet!J$2,FALSE),0),_xlfn.IFNA(VLOOKUP($B37,Dulieutho,ChiTiet!K$2,FALSE),0),_xlfn.IFNA(VLOOKUP($B37,Dulieutho,ChiTiet!AK$2,FALSE),0),_xlfn.IFNA(VLOOKUP($B37,Dulieutho,ChiTiet!AL$2,FALSE),0))*100/_xlfn.IFNA(VLOOKUP($B37,SOP_Banh!$C:$X,7,FALSE),0),0)-100</f>
        <v>4.3046357615894095</v>
      </c>
      <c r="E37" s="61">
        <f>IFERROR(_xlfn.IFNA(VLOOKUP($B37,QuyDoi_DonVi!$C:$S,12,FALSE),0)*100/_xlfn.IFNA(VLOOKUP($B37,SOP_Banh!$C:$X,8,FALSE),0),0)-100</f>
        <v>140.96385542168676</v>
      </c>
      <c r="F37" s="61">
        <f>IFERROR(_xlfn.IFNA(VLOOKUP($B37,QuyDoi_DonVi!$C:$S,13,FALSE),0)*100/_xlfn.IFNA(VLOOKUP($B37,SOP_Banh!$C:$X,9,FALSE),0),0)-100</f>
        <v>-11.242603550295854</v>
      </c>
      <c r="G37" s="63">
        <f>IFERROR(_xlfn.IFNA(VLOOKUP($B37,Dulieutho,ChiTiet!Z$2,FALSE),0)*100/_xlfn.IFNA(VLOOKUP($B37,SOP_Banh!$C:$X,10,FALSE),0),0)-100</f>
        <v>166.66666666666669</v>
      </c>
      <c r="H37" s="61">
        <f>IFERROR(SUM(_xlfn.IFNA(VLOOKUP($B37,Dulieutho,ChiTiet!AB$2,FALSE),0),_xlfn.IFNA(VLOOKUP($B37,Dulieutho,ChiTiet!AC$2,FALSE),0))*100/_xlfn.IFNA(VLOOKUP($B37,SOP_Banh!$C:$X,20,FALSE),0)-100,0)</f>
        <v>-50.331125827814567</v>
      </c>
      <c r="I37" s="61">
        <f>IFERROR(_xlfn.IFNA(VLOOKUP($B37,Dulieutho,ChiTiet!AF$2,FALSE),0)*100/_xlfn.IFNA(VLOOKUP($B37,SOP_Banh!$C:$X,21,FALSE),0)-100,0)</f>
        <v>-100</v>
      </c>
      <c r="J37" s="61">
        <f>IFERROR(_xlfn.IFNA(VLOOKUP($B37,Dulieutho,ChiTiet!AD$2,FALSE),0)*100/_xlfn.IFNA(VLOOKUP($B37,SOP_Banh!$C:$X,22,FALSE),0)-100,0)</f>
        <v>-100</v>
      </c>
      <c r="K37" s="61">
        <f>IFERROR(_xlfn.IFNA(VLOOKUP($B37,QuyDoi_DonVi!$C:$S,3,FALSE),0)*100/_xlfn.IFNA(VLOOKUP($B37,SOP_Banh!$C:$X,12,FALSE),0),0)-100</f>
        <v>-100</v>
      </c>
      <c r="L37" s="61">
        <f>IFERROR(_xlfn.IFNA(VLOOKUP($B37,QuyDoi_DonVi!$C:$S,5,FALSE),0)*100/(_xlfn.IFNA(VLOOKUP($B37,SOP_Banh!$C:$X,13,FALSE),0)*16)-100,0)</f>
        <v>-55.555555555555557</v>
      </c>
      <c r="M37" s="61">
        <f>IFERROR(_xlfn.IFNA(VLOOKUP($B37,QuyDoi_DonVi!$C:$S,4,FALSE),0)*100/_xlfn.IFNA(VLOOKUP($B37,SOP_Banh!$C:$X,14,FALSE),0),0)-100</f>
        <v>-100</v>
      </c>
      <c r="N37" s="61">
        <f>IFERROR(_xlfn.IFNA(VLOOKUP($B37,Dulieutho,ChiTiet!L$2,FALSE),0)*100/_xlfn.IFNA(VLOOKUP($B37,SOP_Banh!$C:$X,15,FALSE),0),0)-100</f>
        <v>-16.666666666666671</v>
      </c>
      <c r="O37" s="61">
        <f>IFERROR(_xlfn.IFNA(VLOOKUP($B37,Dulieutho,ChiTiet!AJ$2,FALSE),0)*192*100/_xlfn.IFNA(VLOOKUP($B37,SOP_Banh!$C:$X,16,FALSE),0)-100,0)</f>
        <v>-21.739130434782609</v>
      </c>
      <c r="P37" s="61">
        <f>IFERROR(_xlfn.IFNA(VLOOKUP($B37,Dulieutho,ChiTiet!AG$2,FALSE),0)*100/_xlfn.IFNA(VLOOKUP($B37,SOP_Nuoc!$C:$H,3,FALSE),0)-100,0)</f>
        <v>-100</v>
      </c>
      <c r="Q37" s="63">
        <f>IFERROR(_xlfn.IFNA(VLOOKUP($B37,Dulieutho,ChiTiet!AH$2,FALSE),0)*3600*100/_xlfn.IFNA(VLOOKUP($B37,SOP_Banh!$C:$X,18,FALSE),0)-100,0)</f>
        <v>-100</v>
      </c>
      <c r="R37" s="61">
        <f>IFERROR(_xlfn.IFNA(VLOOKUP($B37,QuyDoi_DonVi!$C:$S,17,FALSE),0)*100/_xlfn.IFNA(VLOOKUP($B37,SOP_Banh!$C:$X,19,FALSE),0),0)-100</f>
        <v>-100</v>
      </c>
      <c r="S37" s="60">
        <f>_xlfn.IFNA(VLOOKUP($B37,SOP_Nuoc!$C:$W,19,FALSE),0)</f>
        <v>0</v>
      </c>
      <c r="T37" s="60">
        <f>IF(S37&lt;&gt;0,IFERROR(_xlfn.IFNA(VLOOKUP($B37,QuyDoi_DonVi!$C:$S,7,FALSE),0)*100/_xlfn.IFNA(VLOOKUP($B37,SOP_Nuoc!$C:$W,20,FALSE),0),0)-100,0)</f>
        <v>0</v>
      </c>
      <c r="U37" s="60">
        <f>_xlfn.IFNA(VLOOKUP($B37,QuyDoi_DonVi!$C:$S,10,FALSE),0)</f>
        <v>0</v>
      </c>
      <c r="V37" s="60">
        <f>_xlfn.IFNA(VLOOKUP($B37,QuyDoi_DonVi!$C:$S,8,FALSE),0)</f>
        <v>5</v>
      </c>
      <c r="W37" s="60">
        <f>_xlfn.IFNA(VLOOKUP($B37,Dulieutho,ChiTiet!S$2,FALSE),0)</f>
        <v>36</v>
      </c>
    </row>
    <row r="38" spans="1:23" ht="15.6">
      <c r="A38" s="10" t="s">
        <v>93</v>
      </c>
      <c r="B38" s="9" t="s">
        <v>164</v>
      </c>
      <c r="C38" s="11" t="s">
        <v>165</v>
      </c>
      <c r="D38" s="62">
        <f>IFERROR(SUM(_xlfn.IFNA(VLOOKUP($B38,Dulieutho,ChiTiet!J$2,FALSE),0),_xlfn.IFNA(VLOOKUP($B38,Dulieutho,ChiTiet!K$2,FALSE),0),_xlfn.IFNA(VLOOKUP($B38,Dulieutho,ChiTiet!AK$2,FALSE),0),_xlfn.IFNA(VLOOKUP($B38,Dulieutho,ChiTiet!AL$2,FALSE),0))*100/_xlfn.IFNA(VLOOKUP($B38,SOP_Banh!$C:$X,7,FALSE),0),0)-100</f>
        <v>2.3835319609967485</v>
      </c>
      <c r="E38" s="61">
        <f>IFERROR(_xlfn.IFNA(VLOOKUP($B38,QuyDoi_DonVi!$C:$S,12,FALSE),0)*100/_xlfn.IFNA(VLOOKUP($B38,SOP_Banh!$C:$X,8,FALSE),0),0)-100</f>
        <v>78.041543026706222</v>
      </c>
      <c r="F38" s="61">
        <f>IFERROR(_xlfn.IFNA(VLOOKUP($B38,QuyDoi_DonVi!$C:$S,13,FALSE),0)*100/_xlfn.IFNA(VLOOKUP($B38,SOP_Banh!$C:$X,9,FALSE),0),0)-100</f>
        <v>-40.769990128331685</v>
      </c>
      <c r="G38" s="63">
        <f>IFERROR(_xlfn.IFNA(VLOOKUP($B38,Dulieutho,ChiTiet!Z$2,FALSE),0)*100/_xlfn.IFNA(VLOOKUP($B38,SOP_Banh!$C:$X,10,FALSE),0),0)-100</f>
        <v>-28.888888888888886</v>
      </c>
      <c r="H38" s="61">
        <f>IFERROR(SUM(_xlfn.IFNA(VLOOKUP($B38,Dulieutho,ChiTiet!AB$2,FALSE),0),_xlfn.IFNA(VLOOKUP($B38,Dulieutho,ChiTiet!AC$2,FALSE),0))*100/_xlfn.IFNA(VLOOKUP($B38,SOP_Banh!$C:$X,20,FALSE),0)-100,0)</f>
        <v>-26.868905742145174</v>
      </c>
      <c r="I38" s="61">
        <f>IFERROR(_xlfn.IFNA(VLOOKUP($B38,Dulieutho,ChiTiet!AF$2,FALSE),0)*100/_xlfn.IFNA(VLOOKUP($B38,SOP_Banh!$C:$X,21,FALSE),0)-100,0)</f>
        <v>13.63636363636364</v>
      </c>
      <c r="J38" s="61">
        <f>IFERROR(_xlfn.IFNA(VLOOKUP($B38,Dulieutho,ChiTiet!AD$2,FALSE),0)*100/_xlfn.IFNA(VLOOKUP($B38,SOP_Banh!$C:$X,22,FALSE),0)-100,0)</f>
        <v>11.111111111111114</v>
      </c>
      <c r="K38" s="61">
        <f>IFERROR(_xlfn.IFNA(VLOOKUP($B38,QuyDoi_DonVi!$C:$S,3,FALSE),0)*100/_xlfn.IFNA(VLOOKUP($B38,SOP_Banh!$C:$X,12,FALSE),0),0)-100</f>
        <v>11.111111111111114</v>
      </c>
      <c r="L38" s="61">
        <f>IFERROR(_xlfn.IFNA(VLOOKUP($B38,QuyDoi_DonVi!$C:$S,5,FALSE),0)*100/(_xlfn.IFNA(VLOOKUP($B38,SOP_Banh!$C:$X,13,FALSE),0)*16)-100,0)</f>
        <v>-64.444444444444443</v>
      </c>
      <c r="M38" s="61">
        <f>IFERROR(_xlfn.IFNA(VLOOKUP($B38,QuyDoi_DonVi!$C:$S,4,FALSE),0)*100/_xlfn.IFNA(VLOOKUP($B38,SOP_Banh!$C:$X,14,FALSE),0),0)-100</f>
        <v>122.22222222222223</v>
      </c>
      <c r="N38" s="61">
        <f>IFERROR(_xlfn.IFNA(VLOOKUP($B38,Dulieutho,ChiTiet!L$2,FALSE),0)*100/_xlfn.IFNA(VLOOKUP($B38,SOP_Banh!$C:$X,15,FALSE),0),0)-100</f>
        <v>2.2727272727272663</v>
      </c>
      <c r="O38" s="61">
        <f>IFERROR(_xlfn.IFNA(VLOOKUP($B38,Dulieutho,ChiTiet!AJ$2,FALSE),0)*192*100/_xlfn.IFNA(VLOOKUP($B38,SOP_Banh!$C:$X,16,FALSE),0)-100,0)</f>
        <v>-12.80653950953679</v>
      </c>
      <c r="P38" s="61">
        <f>IFERROR(_xlfn.IFNA(VLOOKUP($B38,Dulieutho,ChiTiet!AG$2,FALSE),0)*100/_xlfn.IFNA(VLOOKUP($B38,SOP_Nuoc!$C:$H,3,FALSE),0)-100,0)</f>
        <v>-9.1734786557674823</v>
      </c>
      <c r="Q38" s="63">
        <f>IFERROR(_xlfn.IFNA(VLOOKUP($B38,Dulieutho,ChiTiet!AH$2,FALSE),0)*3600*100/_xlfn.IFNA(VLOOKUP($B38,SOP_Banh!$C:$X,18,FALSE),0)-100,0)</f>
        <v>63.487738419618523</v>
      </c>
      <c r="R38" s="61">
        <f>IFERROR(_xlfn.IFNA(VLOOKUP($B38,QuyDoi_DonVi!$C:$S,17,FALSE),0)*100/_xlfn.IFNA(VLOOKUP($B38,SOP_Banh!$C:$X,19,FALSE),0),0)-100</f>
        <v>-9.1734786557674823</v>
      </c>
      <c r="S38" s="60">
        <f>_xlfn.IFNA(VLOOKUP($B38,SOP_Nuoc!$C:$W,19,FALSE),0)</f>
        <v>25</v>
      </c>
      <c r="T38" s="60">
        <f>IF(S38&lt;&gt;0,IFERROR(_xlfn.IFNA(VLOOKUP($B38,QuyDoi_DonVi!$C:$S,7,FALSE),0)*100/_xlfn.IFNA(VLOOKUP($B38,SOP_Nuoc!$C:$W,20,FALSE),0),0)-100,0)</f>
        <v>-34</v>
      </c>
      <c r="U38" s="60">
        <f>_xlfn.IFNA(VLOOKUP($B38,QuyDoi_DonVi!$C:$S,10,FALSE),0)</f>
        <v>12</v>
      </c>
      <c r="V38" s="60">
        <f>_xlfn.IFNA(VLOOKUP($B38,QuyDoi_DonVi!$C:$S,8,FALSE),0)</f>
        <v>12</v>
      </c>
      <c r="W38" s="60">
        <f>_xlfn.IFNA(VLOOKUP($B38,Dulieutho,ChiTiet!S$2,FALSE),0)</f>
        <v>72</v>
      </c>
    </row>
    <row r="39" spans="1:23" ht="15.6">
      <c r="A39" s="10" t="s">
        <v>93</v>
      </c>
      <c r="B39" s="9" t="s">
        <v>166</v>
      </c>
      <c r="C39" s="11" t="s">
        <v>167</v>
      </c>
      <c r="D39" s="62">
        <f>IFERROR(SUM(_xlfn.IFNA(VLOOKUP($B39,Dulieutho,ChiTiet!J$2,FALSE),0),_xlfn.IFNA(VLOOKUP($B39,Dulieutho,ChiTiet!K$2,FALSE),0),_xlfn.IFNA(VLOOKUP($B39,Dulieutho,ChiTiet!AK$2,FALSE),0),_xlfn.IFNA(VLOOKUP($B39,Dulieutho,ChiTiet!AL$2,FALSE),0))*100/_xlfn.IFNA(VLOOKUP($B39,SOP_Banh!$C:$X,7,FALSE),0),0)-100</f>
        <v>7.4498567335243564</v>
      </c>
      <c r="E39" s="61">
        <f>IFERROR(_xlfn.IFNA(VLOOKUP($B39,QuyDoi_DonVi!$C:$S,12,FALSE),0)*100/_xlfn.IFNA(VLOOKUP($B39,SOP_Banh!$C:$X,8,FALSE),0),0)-100</f>
        <v>128.94521668029435</v>
      </c>
      <c r="F39" s="61">
        <f>IFERROR(_xlfn.IFNA(VLOOKUP($B39,QuyDoi_DonVi!$C:$S,13,FALSE),0)*100/_xlfn.IFNA(VLOOKUP($B39,SOP_Banh!$C:$X,9,FALSE),0),0)-100</f>
        <v>-1.6979445933869499</v>
      </c>
      <c r="G39" s="63">
        <f>IFERROR(_xlfn.IFNA(VLOOKUP($B39,Dulieutho,ChiTiet!Z$2,FALSE),0)*100/_xlfn.IFNA(VLOOKUP($B39,SOP_Banh!$C:$X,10,FALSE),0),0)-100</f>
        <v>38.271604938271594</v>
      </c>
      <c r="H39" s="61">
        <f>IFERROR(SUM(_xlfn.IFNA(VLOOKUP($B39,Dulieutho,ChiTiet!AB$2,FALSE),0),_xlfn.IFNA(VLOOKUP($B39,Dulieutho,ChiTiet!AC$2,FALSE),0))*100/_xlfn.IFNA(VLOOKUP($B39,SOP_Banh!$C:$X,20,FALSE),0)-100,0)</f>
        <v>-21.203438395415475</v>
      </c>
      <c r="I39" s="61">
        <f>IFERROR(_xlfn.IFNA(VLOOKUP($B39,Dulieutho,ChiTiet!AF$2,FALSE),0)*100/_xlfn.IFNA(VLOOKUP($B39,SOP_Banh!$C:$X,21,FALSE),0)-100,0)</f>
        <v>13.63636363636364</v>
      </c>
      <c r="J39" s="61">
        <f>IFERROR(_xlfn.IFNA(VLOOKUP($B39,Dulieutho,ChiTiet!AD$2,FALSE),0)*100/_xlfn.IFNA(VLOOKUP($B39,SOP_Banh!$C:$X,22,FALSE),0)-100,0)</f>
        <v>-30.555555555555557</v>
      </c>
      <c r="K39" s="61">
        <f>IFERROR(_xlfn.IFNA(VLOOKUP($B39,QuyDoi_DonVi!$C:$S,3,FALSE),0)*100/_xlfn.IFNA(VLOOKUP($B39,SOP_Banh!$C:$X,12,FALSE),0),0)-100</f>
        <v>-100</v>
      </c>
      <c r="L39" s="61">
        <f>IFERROR(_xlfn.IFNA(VLOOKUP($B39,QuyDoi_DonVi!$C:$S,5,FALSE),0)*100/(_xlfn.IFNA(VLOOKUP($B39,SOP_Banh!$C:$X,13,FALSE),0)*16)-100,0)</f>
        <v>-77.777777777777771</v>
      </c>
      <c r="M39" s="61">
        <f>IFERROR(_xlfn.IFNA(VLOOKUP($B39,QuyDoi_DonVi!$C:$S,4,FALSE),0)*100/_xlfn.IFNA(VLOOKUP($B39,SOP_Banh!$C:$X,14,FALSE),0),0)-100</f>
        <v>38.888888888888886</v>
      </c>
      <c r="N39" s="61">
        <f>IFERROR(_xlfn.IFNA(VLOOKUP($B39,Dulieutho,ChiTiet!L$2,FALSE),0)*100/_xlfn.IFNA(VLOOKUP($B39,SOP_Banh!$C:$X,15,FALSE),0),0)-100</f>
        <v>-17.61363636363636</v>
      </c>
      <c r="O39" s="61">
        <f>IFERROR(_xlfn.IFNA(VLOOKUP($B39,Dulieutho,ChiTiet!AJ$2,FALSE),0)*192*100/_xlfn.IFNA(VLOOKUP($B39,SOP_Banh!$C:$X,16,FALSE),0)-100,0)</f>
        <v>-25.868725868725875</v>
      </c>
      <c r="P39" s="61">
        <f>IFERROR(_xlfn.IFNA(VLOOKUP($B39,Dulieutho,ChiTiet!AG$2,FALSE),0)*100/_xlfn.IFNA(VLOOKUP($B39,SOP_Nuoc!$C:$H,3,FALSE),0)-100,0)</f>
        <v>-22.779922779922785</v>
      </c>
      <c r="Q39" s="63">
        <f>IFERROR(_xlfn.IFNA(VLOOKUP($B39,Dulieutho,ChiTiet!AH$2,FALSE),0)*3600*100/_xlfn.IFNA(VLOOKUP($B39,SOP_Banh!$C:$X,18,FALSE),0)-100,0)</f>
        <v>38.996138996138995</v>
      </c>
      <c r="R39" s="61">
        <f>IFERROR(_xlfn.IFNA(VLOOKUP($B39,QuyDoi_DonVi!$C:$S,17,FALSE),0)*100/_xlfn.IFNA(VLOOKUP($B39,SOP_Banh!$C:$X,19,FALSE),0),0)-100</f>
        <v>-22.779922779922785</v>
      </c>
      <c r="S39" s="60">
        <f>_xlfn.IFNA(VLOOKUP($B39,SOP_Nuoc!$C:$W,19,FALSE),0)</f>
        <v>25</v>
      </c>
      <c r="T39" s="60">
        <f>IF(S39&lt;&gt;0,IFERROR(_xlfn.IFNA(VLOOKUP($B39,QuyDoi_DonVi!$C:$S,7,FALSE),0)*100/_xlfn.IFNA(VLOOKUP($B39,SOP_Nuoc!$C:$W,20,FALSE),0),0)-100,0)</f>
        <v>-34</v>
      </c>
      <c r="U39" s="60">
        <f>_xlfn.IFNA(VLOOKUP($B39,QuyDoi_DonVi!$C:$S,10,FALSE),0)</f>
        <v>24</v>
      </c>
      <c r="V39" s="60">
        <f>_xlfn.IFNA(VLOOKUP($B39,QuyDoi_DonVi!$C:$S,8,FALSE),0)</f>
        <v>14</v>
      </c>
      <c r="W39" s="60">
        <f>_xlfn.IFNA(VLOOKUP($B39,Dulieutho,ChiTiet!S$2,FALSE),0)</f>
        <v>72</v>
      </c>
    </row>
    <row r="40" spans="1:23" ht="15.6">
      <c r="A40" s="10" t="s">
        <v>93</v>
      </c>
      <c r="B40" s="9" t="s">
        <v>168</v>
      </c>
      <c r="C40" s="11" t="s">
        <v>169</v>
      </c>
      <c r="D40" s="62">
        <f>IFERROR(SUM(_xlfn.IFNA(VLOOKUP($B40,Dulieutho,ChiTiet!J$2,FALSE),0),_xlfn.IFNA(VLOOKUP($B40,Dulieutho,ChiTiet!K$2,FALSE),0),_xlfn.IFNA(VLOOKUP($B40,Dulieutho,ChiTiet!AK$2,FALSE),0),_xlfn.IFNA(VLOOKUP($B40,Dulieutho,ChiTiet!AL$2,FALSE),0))*100/_xlfn.IFNA(VLOOKUP($B40,SOP_Banh!$C:$X,7,FALSE),0),0)-100</f>
        <v>16.352201257861637</v>
      </c>
      <c r="E40" s="61">
        <f>IFERROR(_xlfn.IFNA(VLOOKUP($B40,QuyDoi_DonVi!$C:$S,12,FALSE),0)*100/_xlfn.IFNA(VLOOKUP($B40,SOP_Banh!$C:$X,8,FALSE),0),0)-100</f>
        <v>16.959064327485379</v>
      </c>
      <c r="F40" s="61">
        <f>IFERROR(_xlfn.IFNA(VLOOKUP($B40,QuyDoi_DonVi!$C:$S,13,FALSE),0)*100/_xlfn.IFNA(VLOOKUP($B40,SOP_Banh!$C:$X,9,FALSE),0),0)-100</f>
        <v>16.959064327485379</v>
      </c>
      <c r="G40" s="63">
        <f>IFERROR(_xlfn.IFNA(VLOOKUP($B40,Dulieutho,ChiTiet!Z$2,FALSE),0)*100/_xlfn.IFNA(VLOOKUP($B40,SOP_Banh!$C:$X,10,FALSE),0),0)-100</f>
        <v>45.454545454545467</v>
      </c>
      <c r="H40" s="61">
        <f>IFERROR(SUM(_xlfn.IFNA(VLOOKUP($B40,Dulieutho,ChiTiet!AB$2,FALSE),0),_xlfn.IFNA(VLOOKUP($B40,Dulieutho,ChiTiet!AC$2,FALSE),0))*100/_xlfn.IFNA(VLOOKUP($B40,SOP_Banh!$C:$X,20,FALSE),0)-100,0)</f>
        <v>-31.865828092243191</v>
      </c>
      <c r="I40" s="61">
        <f>IFERROR(_xlfn.IFNA(VLOOKUP($B40,Dulieutho,ChiTiet!AF$2,FALSE),0)*100/_xlfn.IFNA(VLOOKUP($B40,SOP_Banh!$C:$X,21,FALSE),0)-100,0)</f>
        <v>-100</v>
      </c>
      <c r="J40" s="61">
        <f>IFERROR(_xlfn.IFNA(VLOOKUP($B40,Dulieutho,ChiTiet!AD$2,FALSE),0)*100/_xlfn.IFNA(VLOOKUP($B40,SOP_Banh!$C:$X,22,FALSE),0)-100,0)</f>
        <v>-100</v>
      </c>
      <c r="K40" s="61">
        <f>IFERROR(_xlfn.IFNA(VLOOKUP($B40,QuyDoi_DonVi!$C:$S,3,FALSE),0)*100/_xlfn.IFNA(VLOOKUP($B40,SOP_Banh!$C:$X,12,FALSE),0),0)-100</f>
        <v>38.888888888888886</v>
      </c>
      <c r="L40" s="61">
        <f>IFERROR(_xlfn.IFNA(VLOOKUP($B40,QuyDoi_DonVi!$C:$S,5,FALSE),0)*100/(_xlfn.IFNA(VLOOKUP($B40,SOP_Banh!$C:$X,13,FALSE),0)*16)-100,0)</f>
        <v>33.333333333333343</v>
      </c>
      <c r="M40" s="61">
        <f>IFERROR(_xlfn.IFNA(VLOOKUP($B40,QuyDoi_DonVi!$C:$S,4,FALSE),0)*100/_xlfn.IFNA(VLOOKUP($B40,SOP_Banh!$C:$X,14,FALSE),0),0)-100</f>
        <v>-100</v>
      </c>
      <c r="N40" s="61">
        <f>IFERROR(_xlfn.IFNA(VLOOKUP($B40,Dulieutho,ChiTiet!L$2,FALSE),0)*100/_xlfn.IFNA(VLOOKUP($B40,SOP_Banh!$C:$X,15,FALSE),0),0)-100</f>
        <v>-2.7777777777777715</v>
      </c>
      <c r="O40" s="61">
        <f>IFERROR(_xlfn.IFNA(VLOOKUP($B40,Dulieutho,ChiTiet!AJ$2,FALSE),0)*192*100/_xlfn.IFNA(VLOOKUP($B40,SOP_Banh!$C:$X,16,FALSE),0)-100,0)</f>
        <v>-30.054644808743163</v>
      </c>
      <c r="P40" s="61">
        <f>IFERROR(_xlfn.IFNA(VLOOKUP($B40,Dulieutho,ChiTiet!AG$2,FALSE),0)*100/_xlfn.IFNA(VLOOKUP($B40,SOP_Nuoc!$C:$H,3,FALSE),0)-100,0)</f>
        <v>-8.9253187613843323</v>
      </c>
      <c r="Q40" s="63">
        <f>IFERROR(_xlfn.IFNA(VLOOKUP($B40,Dulieutho,ChiTiet!AH$2,FALSE),0)*3600*100/_xlfn.IFNA(VLOOKUP($B40,SOP_Banh!$C:$X,18,FALSE),0)-100,0)</f>
        <v>-100</v>
      </c>
      <c r="R40" s="61">
        <f>IFERROR(_xlfn.IFNA(VLOOKUP($B40,QuyDoi_DonVi!$C:$S,17,FALSE),0)*100/_xlfn.IFNA(VLOOKUP($B40,SOP_Banh!$C:$X,19,FALSE),0),0)-100</f>
        <v>-8.9253187613843323</v>
      </c>
      <c r="S40" s="60">
        <f>_xlfn.IFNA(VLOOKUP($B40,SOP_Nuoc!$C:$W,19,FALSE),0)</f>
        <v>0</v>
      </c>
      <c r="T40" s="60">
        <f>IF(S40&lt;&gt;0,IFERROR(_xlfn.IFNA(VLOOKUP($B40,QuyDoi_DonVi!$C:$S,7,FALSE),0)*100/_xlfn.IFNA(VLOOKUP($B40,SOP_Nuoc!$C:$W,20,FALSE),0),0)-100,0)</f>
        <v>0</v>
      </c>
      <c r="U40" s="60">
        <f>_xlfn.IFNA(VLOOKUP($B40,QuyDoi_DonVi!$C:$S,10,FALSE),0)</f>
        <v>12</v>
      </c>
      <c r="V40" s="60">
        <f>_xlfn.IFNA(VLOOKUP($B40,QuyDoi_DonVi!$C:$S,8,FALSE),0)</f>
        <v>6</v>
      </c>
      <c r="W40" s="60">
        <f>_xlfn.IFNA(VLOOKUP($B40,Dulieutho,ChiTiet!S$2,FALSE),0)</f>
        <v>48</v>
      </c>
    </row>
    <row r="41" spans="1:23" ht="15.6">
      <c r="A41" s="10" t="s">
        <v>93</v>
      </c>
      <c r="B41" s="9" t="s">
        <v>170</v>
      </c>
      <c r="C41" s="11" t="s">
        <v>171</v>
      </c>
      <c r="D41" s="62">
        <f>IFERROR(SUM(_xlfn.IFNA(VLOOKUP($B41,Dulieutho,ChiTiet!J$2,FALSE),0),_xlfn.IFNA(VLOOKUP($B41,Dulieutho,ChiTiet!K$2,FALSE),0),_xlfn.IFNA(VLOOKUP($B41,Dulieutho,ChiTiet!AK$2,FALSE),0),_xlfn.IFNA(VLOOKUP($B41,Dulieutho,ChiTiet!AL$2,FALSE),0))*100/_xlfn.IFNA(VLOOKUP($B41,SOP_Banh!$C:$X,7,FALSE),0),0)-100</f>
        <v>24.407582938388629</v>
      </c>
      <c r="E41" s="61">
        <f>IFERROR(_xlfn.IFNA(VLOOKUP($B41,QuyDoi_DonVi!$C:$S,12,FALSE),0)*100/_xlfn.IFNA(VLOOKUP($B41,SOP_Banh!$C:$X,8,FALSE),0),0)-100</f>
        <v>74.672489082969435</v>
      </c>
      <c r="F41" s="61">
        <f>IFERROR(_xlfn.IFNA(VLOOKUP($B41,QuyDoi_DonVi!$C:$S,13,FALSE),0)*100/_xlfn.IFNA(VLOOKUP($B41,SOP_Banh!$C:$X,9,FALSE),0),0)-100</f>
        <v>-34.497816593886469</v>
      </c>
      <c r="G41" s="63">
        <f>IFERROR(_xlfn.IFNA(VLOOKUP($B41,Dulieutho,ChiTiet!Z$2,FALSE),0)*100/_xlfn.IFNA(VLOOKUP($B41,SOP_Banh!$C:$X,10,FALSE),0),0)-100</f>
        <v>23.07692307692308</v>
      </c>
      <c r="H41" s="61">
        <f>IFERROR(SUM(_xlfn.IFNA(VLOOKUP($B41,Dulieutho,ChiTiet!AB$2,FALSE),0),_xlfn.IFNA(VLOOKUP($B41,Dulieutho,ChiTiet!AC$2,FALSE),0))*100/_xlfn.IFNA(VLOOKUP($B41,SOP_Banh!$C:$X,20,FALSE),0)-100,0)</f>
        <v>-17.061611374407576</v>
      </c>
      <c r="I41" s="61">
        <f>IFERROR(_xlfn.IFNA(VLOOKUP($B41,Dulieutho,ChiTiet!AF$2,FALSE),0)*100/_xlfn.IFNA(VLOOKUP($B41,SOP_Banh!$C:$X,21,FALSE),0)-100,0)</f>
        <v>38.888888888888886</v>
      </c>
      <c r="J41" s="61">
        <f>IFERROR(_xlfn.IFNA(VLOOKUP($B41,Dulieutho,ChiTiet!AD$2,FALSE),0)*100/_xlfn.IFNA(VLOOKUP($B41,SOP_Banh!$C:$X,22,FALSE),0)-100,0)</f>
        <v>38.888888888888886</v>
      </c>
      <c r="K41" s="61">
        <f>IFERROR(_xlfn.IFNA(VLOOKUP($B41,QuyDoi_DonVi!$C:$S,3,FALSE),0)*100/_xlfn.IFNA(VLOOKUP($B41,SOP_Banh!$C:$X,12,FALSE),0),0)-100</f>
        <v>-100</v>
      </c>
      <c r="L41" s="61">
        <f>IFERROR(_xlfn.IFNA(VLOOKUP($B41,QuyDoi_DonVi!$C:$S,5,FALSE),0)*100/(_xlfn.IFNA(VLOOKUP($B41,SOP_Banh!$C:$X,13,FALSE),0)*16)-100,0)</f>
        <v>-55.555555555555557</v>
      </c>
      <c r="M41" s="61">
        <f>IFERROR(_xlfn.IFNA(VLOOKUP($B41,QuyDoi_DonVi!$C:$S,4,FALSE),0)*100/_xlfn.IFNA(VLOOKUP($B41,SOP_Banh!$C:$X,14,FALSE),0),0)-100</f>
        <v>177.77777777777777</v>
      </c>
      <c r="N41" s="61">
        <f>IFERROR(_xlfn.IFNA(VLOOKUP($B41,Dulieutho,ChiTiet!L$2,FALSE),0)*100/_xlfn.IFNA(VLOOKUP($B41,SOP_Banh!$C:$X,15,FALSE),0),0)-100</f>
        <v>25</v>
      </c>
      <c r="O41" s="61">
        <f>IFERROR(_xlfn.IFNA(VLOOKUP($B41,Dulieutho,ChiTiet!AJ$2,FALSE),0)*192*100/_xlfn.IFNA(VLOOKUP($B41,SOP_Banh!$C:$X,16,FALSE),0)-100,0)</f>
        <v>74.89878542510121</v>
      </c>
      <c r="P41" s="61">
        <f>IFERROR(_xlfn.IFNA(VLOOKUP($B41,Dulieutho,ChiTiet!AG$2,FALSE),0)*100/_xlfn.IFNA(VLOOKUP($B41,SOP_Nuoc!$C:$H,3,FALSE),0)-100,0)</f>
        <v>1.214574898785429</v>
      </c>
      <c r="Q41" s="63">
        <f>IFERROR(_xlfn.IFNA(VLOOKUP($B41,Dulieutho,ChiTiet!AH$2,FALSE),0)*3600*100/_xlfn.IFNA(VLOOKUP($B41,SOP_Banh!$C:$X,18,FALSE),0)-100,0)</f>
        <v>264.37246963562751</v>
      </c>
      <c r="R41" s="61">
        <f>IFERROR(_xlfn.IFNA(VLOOKUP($B41,QuyDoi_DonVi!$C:$S,17,FALSE),0)*100/_xlfn.IFNA(VLOOKUP($B41,SOP_Banh!$C:$X,19,FALSE),0),0)-100</f>
        <v>1.214574898785429</v>
      </c>
      <c r="S41" s="60">
        <f>_xlfn.IFNA(VLOOKUP($B41,SOP_Nuoc!$C:$W,19,FALSE),0)</f>
        <v>0</v>
      </c>
      <c r="T41" s="60">
        <f>IF(S41&lt;&gt;0,IFERROR(_xlfn.IFNA(VLOOKUP($B41,QuyDoi_DonVi!$C:$S,7,FALSE),0)*100/_xlfn.IFNA(VLOOKUP($B41,SOP_Nuoc!$C:$W,20,FALSE),0),0)-100,0)</f>
        <v>0</v>
      </c>
      <c r="U41" s="60">
        <f>_xlfn.IFNA(VLOOKUP($B41,QuyDoi_DonVi!$C:$S,10,FALSE),0)</f>
        <v>12</v>
      </c>
      <c r="V41" s="60">
        <f>_xlfn.IFNA(VLOOKUP($B41,QuyDoi_DonVi!$C:$S,8,FALSE),0)</f>
        <v>12</v>
      </c>
      <c r="W41" s="60">
        <f>_xlfn.IFNA(VLOOKUP($B41,Dulieutho,ChiTiet!S$2,FALSE),0)</f>
        <v>24</v>
      </c>
    </row>
    <row r="42" spans="1:23" ht="15.6">
      <c r="A42" s="10" t="s">
        <v>93</v>
      </c>
      <c r="B42" s="9" t="s">
        <v>172</v>
      </c>
      <c r="C42" s="11" t="s">
        <v>173</v>
      </c>
      <c r="D42" s="62">
        <f>IFERROR(SUM(_xlfn.IFNA(VLOOKUP($B42,Dulieutho,ChiTiet!J$2,FALSE),0),_xlfn.IFNA(VLOOKUP($B42,Dulieutho,ChiTiet!K$2,FALSE),0),_xlfn.IFNA(VLOOKUP($B42,Dulieutho,ChiTiet!AK$2,FALSE),0),_xlfn.IFNA(VLOOKUP($B42,Dulieutho,ChiTiet!AL$2,FALSE),0))*100/_xlfn.IFNA(VLOOKUP($B42,SOP_Banh!$C:$X,7,FALSE),0),0)-100</f>
        <v>-4.6242774566474054</v>
      </c>
      <c r="E42" s="61">
        <f>IFERROR(_xlfn.IFNA(VLOOKUP($B42,QuyDoi_DonVi!$C:$S,12,FALSE),0)*100/_xlfn.IFNA(VLOOKUP($B42,SOP_Banh!$C:$X,8,FALSE),0),0)-100</f>
        <v>37.221269296740985</v>
      </c>
      <c r="F42" s="61">
        <f>IFERROR(_xlfn.IFNA(VLOOKUP($B42,QuyDoi_DonVi!$C:$S,13,FALSE),0)*100/_xlfn.IFNA(VLOOKUP($B42,SOP_Banh!$C:$X,9,FALSE),0),0)-100</f>
        <v>-27.140255009107463</v>
      </c>
      <c r="G42" s="63">
        <f>IFERROR(_xlfn.IFNA(VLOOKUP($B42,Dulieutho,ChiTiet!Z$2,FALSE),0)*100/_xlfn.IFNA(VLOOKUP($B42,SOP_Banh!$C:$X,10,FALSE),0),0)-100</f>
        <v>77.777777777777771</v>
      </c>
      <c r="H42" s="61">
        <f>IFERROR(SUM(_xlfn.IFNA(VLOOKUP($B42,Dulieutho,ChiTiet!AB$2,FALSE),0),_xlfn.IFNA(VLOOKUP($B42,Dulieutho,ChiTiet!AC$2,FALSE),0))*100/_xlfn.IFNA(VLOOKUP($B42,SOP_Banh!$C:$X,20,FALSE),0)-100,0)</f>
        <v>-56.647398843930638</v>
      </c>
      <c r="I42" s="61">
        <f>IFERROR(_xlfn.IFNA(VLOOKUP($B42,Dulieutho,ChiTiet!AF$2,FALSE),0)*100/_xlfn.IFNA(VLOOKUP($B42,SOP_Banh!$C:$X,21,FALSE),0)-100,0)</f>
        <v>56.25</v>
      </c>
      <c r="J42" s="61">
        <f>IFERROR(_xlfn.IFNA(VLOOKUP($B42,Dulieutho,ChiTiet!AD$2,FALSE),0)*100/_xlfn.IFNA(VLOOKUP($B42,SOP_Banh!$C:$X,22,FALSE),0)-100,0)</f>
        <v>66.666666666666657</v>
      </c>
      <c r="K42" s="61">
        <f>IFERROR(_xlfn.IFNA(VLOOKUP($B42,QuyDoi_DonVi!$C:$S,3,FALSE),0)*100/_xlfn.IFNA(VLOOKUP($B42,SOP_Banh!$C:$X,12,FALSE),0),0)-100</f>
        <v>66.666666666666657</v>
      </c>
      <c r="L42" s="61">
        <f>IFERROR(_xlfn.IFNA(VLOOKUP($B42,QuyDoi_DonVi!$C:$S,5,FALSE),0)*100/(_xlfn.IFNA(VLOOKUP($B42,SOP_Banh!$C:$X,13,FALSE),0)*16)-100,0)</f>
        <v>-46.666666666666664</v>
      </c>
      <c r="M42" s="61">
        <f>IFERROR(_xlfn.IFNA(VLOOKUP($B42,QuyDoi_DonVi!$C:$S,4,FALSE),0)*100/_xlfn.IFNA(VLOOKUP($B42,SOP_Banh!$C:$X,14,FALSE),0),0)-100</f>
        <v>233.33333333333331</v>
      </c>
      <c r="N42" s="61">
        <f>IFERROR(_xlfn.IFNA(VLOOKUP($B42,Dulieutho,ChiTiet!L$2,FALSE),0)*100/_xlfn.IFNA(VLOOKUP($B42,SOP_Banh!$C:$X,15,FALSE),0),0)-100</f>
        <v>1.5625</v>
      </c>
      <c r="O42" s="61">
        <f>IFERROR(_xlfn.IFNA(VLOOKUP($B42,Dulieutho,ChiTiet!AJ$2,FALSE),0)*192*100/_xlfn.IFNA(VLOOKUP($B42,SOP_Banh!$C:$X,16,FALSE),0)-100,0)</f>
        <v>-6.0358890701468226</v>
      </c>
      <c r="P42" s="61">
        <f>IFERROR(_xlfn.IFNA(VLOOKUP($B42,Dulieutho,ChiTiet!AG$2,FALSE),0)*100/_xlfn.IFNA(VLOOKUP($B42,SOP_Nuoc!$C:$H,3,FALSE),0)-100,0)</f>
        <v>63.132137030995096</v>
      </c>
      <c r="Q42" s="63">
        <f>IFERROR(_xlfn.IFNA(VLOOKUP($B42,Dulieutho,ChiTiet!AH$2,FALSE),0)*3600*100/_xlfn.IFNA(VLOOKUP($B42,SOP_Banh!$C:$X,18,FALSE),0)-100,0)</f>
        <v>193.63784665579118</v>
      </c>
      <c r="R42" s="61">
        <f>IFERROR(_xlfn.IFNA(VLOOKUP($B42,QuyDoi_DonVi!$C:$S,17,FALSE),0)*100/_xlfn.IFNA(VLOOKUP($B42,SOP_Banh!$C:$X,19,FALSE),0),0)-100</f>
        <v>63.132137030995096</v>
      </c>
      <c r="S42" s="60">
        <f>_xlfn.IFNA(VLOOKUP($B42,SOP_Nuoc!$C:$W,19,FALSE),0)</f>
        <v>0</v>
      </c>
      <c r="T42" s="60">
        <f>IF(S42&lt;&gt;0,IFERROR(_xlfn.IFNA(VLOOKUP($B42,QuyDoi_DonVi!$C:$S,7,FALSE),0)*100/_xlfn.IFNA(VLOOKUP($B42,SOP_Nuoc!$C:$W,20,FALSE),0),0)-100,0)</f>
        <v>0</v>
      </c>
      <c r="U42" s="60">
        <f>_xlfn.IFNA(VLOOKUP($B42,QuyDoi_DonVi!$C:$S,10,FALSE),0)</f>
        <v>0</v>
      </c>
      <c r="V42" s="60">
        <f>_xlfn.IFNA(VLOOKUP($B42,QuyDoi_DonVi!$C:$S,8,FALSE),0)</f>
        <v>4</v>
      </c>
      <c r="W42" s="60">
        <f>_xlfn.IFNA(VLOOKUP($B42,Dulieutho,ChiTiet!S$2,FALSE),0)</f>
        <v>48</v>
      </c>
    </row>
    <row r="43" spans="1:23" ht="15.6">
      <c r="A43" s="10" t="s">
        <v>93</v>
      </c>
      <c r="B43" s="9" t="s">
        <v>174</v>
      </c>
      <c r="C43" s="11" t="s">
        <v>175</v>
      </c>
      <c r="D43" s="62">
        <f>IFERROR(SUM(_xlfn.IFNA(VLOOKUP($B43,Dulieutho,ChiTiet!J$2,FALSE),0),_xlfn.IFNA(VLOOKUP($B43,Dulieutho,ChiTiet!K$2,FALSE),0),_xlfn.IFNA(VLOOKUP($B43,Dulieutho,ChiTiet!AK$2,FALSE),0),_xlfn.IFNA(VLOOKUP($B43,Dulieutho,ChiTiet!AL$2,FALSE),0))*100/_xlfn.IFNA(VLOOKUP($B43,SOP_Banh!$C:$X,7,FALSE),0),0)-100</f>
        <v>6.25</v>
      </c>
      <c r="E43" s="61">
        <f>IFERROR(_xlfn.IFNA(VLOOKUP($B43,QuyDoi_DonVi!$C:$S,12,FALSE),0)*100/_xlfn.IFNA(VLOOKUP($B43,SOP_Banh!$C:$X,8,FALSE),0),0)-100</f>
        <v>1.8922852983988321</v>
      </c>
      <c r="F43" s="61">
        <f>IFERROR(_xlfn.IFNA(VLOOKUP($B43,QuyDoi_DonVi!$C:$S,13,FALSE),0)*100/_xlfn.IFNA(VLOOKUP($B43,SOP_Banh!$C:$X,9,FALSE),0),0)-100</f>
        <v>103.78457059679766</v>
      </c>
      <c r="G43" s="63">
        <f>IFERROR(_xlfn.IFNA(VLOOKUP($B43,Dulieutho,ChiTiet!Z$2,FALSE),0)*100/_xlfn.IFNA(VLOOKUP($B43,SOP_Banh!$C:$X,10,FALSE),0),0)-100</f>
        <v>58.024691358024683</v>
      </c>
      <c r="H43" s="61">
        <f>IFERROR(SUM(_xlfn.IFNA(VLOOKUP($B43,Dulieutho,ChiTiet!AB$2,FALSE),0),_xlfn.IFNA(VLOOKUP($B43,Dulieutho,ChiTiet!AC$2,FALSE),0))*100/_xlfn.IFNA(VLOOKUP($B43,SOP_Banh!$C:$X,20,FALSE),0)-100,0)</f>
        <v>-37.5</v>
      </c>
      <c r="I43" s="61">
        <f>IFERROR(_xlfn.IFNA(VLOOKUP($B43,Dulieutho,ChiTiet!AF$2,FALSE),0)*100/_xlfn.IFNA(VLOOKUP($B43,SOP_Banh!$C:$X,21,FALSE),0)-100,0)</f>
        <v>14.94252873563218</v>
      </c>
      <c r="J43" s="61">
        <f>IFERROR(_xlfn.IFNA(VLOOKUP($B43,Dulieutho,ChiTiet!AD$2,FALSE),0)*100/_xlfn.IFNA(VLOOKUP($B43,SOP_Banh!$C:$X,22,FALSE),0)-100,0)</f>
        <v>-13.793103448275858</v>
      </c>
      <c r="K43" s="61">
        <f>IFERROR(_xlfn.IFNA(VLOOKUP($B43,QuyDoi_DonVi!$C:$S,3,FALSE),0)*100/_xlfn.IFNA(VLOOKUP($B43,SOP_Banh!$C:$X,12,FALSE),0),0)-100</f>
        <v>-71.264367816091948</v>
      </c>
      <c r="L43" s="61">
        <f>IFERROR(_xlfn.IFNA(VLOOKUP($B43,QuyDoi_DonVi!$C:$S,5,FALSE),0)*100/(_xlfn.IFNA(VLOOKUP($B43,SOP_Banh!$C:$X,13,FALSE),0)*16)-100,0)</f>
        <v>-8.0459770114942586</v>
      </c>
      <c r="M43" s="61">
        <f>IFERROR(_xlfn.IFNA(VLOOKUP($B43,QuyDoi_DonVi!$C:$S,4,FALSE),0)*100/_xlfn.IFNA(VLOOKUP($B43,SOP_Banh!$C:$X,14,FALSE),0),0)-100</f>
        <v>14.94252873563218</v>
      </c>
      <c r="N43" s="61">
        <f>IFERROR(_xlfn.IFNA(VLOOKUP($B43,Dulieutho,ChiTiet!L$2,FALSE),0)*100/_xlfn.IFNA(VLOOKUP($B43,SOP_Banh!$C:$X,15,FALSE),0),0)-100</f>
        <v>12.068965517241381</v>
      </c>
      <c r="O43" s="61">
        <f>IFERROR(_xlfn.IFNA(VLOOKUP($B43,Dulieutho,ChiTiet!AJ$2,FALSE),0)*192*100/_xlfn.IFNA(VLOOKUP($B43,SOP_Banh!$C:$X,16,FALSE),0)-100,0)</f>
        <v>-31.782945736434115</v>
      </c>
      <c r="P43" s="61">
        <f>IFERROR(_xlfn.IFNA(VLOOKUP($B43,Dulieutho,ChiTiet!AG$2,FALSE),0)*100/_xlfn.IFNA(VLOOKUP($B43,SOP_Nuoc!$C:$H,3,FALSE),0)-100,0)</f>
        <v>-35.400516795865627</v>
      </c>
      <c r="Q43" s="63">
        <f>IFERROR(_xlfn.IFNA(VLOOKUP($B43,Dulieutho,ChiTiet!AH$2,FALSE),0)*3600*100/_xlfn.IFNA(VLOOKUP($B43,SOP_Banh!$C:$X,18,FALSE),0)-100,0)</f>
        <v>16.279069767441854</v>
      </c>
      <c r="R43" s="61">
        <f>IFERROR(_xlfn.IFNA(VLOOKUP($B43,QuyDoi_DonVi!$C:$S,17,FALSE),0)*100/_xlfn.IFNA(VLOOKUP($B43,SOP_Banh!$C:$X,19,FALSE),0),0)-100</f>
        <v>-35.400516795865627</v>
      </c>
      <c r="S43" s="60">
        <f>_xlfn.IFNA(VLOOKUP($B43,SOP_Nuoc!$C:$W,19,FALSE),0)</f>
        <v>0</v>
      </c>
      <c r="T43" s="60">
        <f>IF(S43&lt;&gt;0,IFERROR(_xlfn.IFNA(VLOOKUP($B43,QuyDoi_DonVi!$C:$S,7,FALSE),0)*100/_xlfn.IFNA(VLOOKUP($B43,SOP_Nuoc!$C:$W,20,FALSE),0),0)-100,0)</f>
        <v>0</v>
      </c>
      <c r="U43" s="60">
        <f>_xlfn.IFNA(VLOOKUP($B43,QuyDoi_DonVi!$C:$S,10,FALSE),0)</f>
        <v>24</v>
      </c>
      <c r="V43" s="60">
        <f>_xlfn.IFNA(VLOOKUP($B43,QuyDoi_DonVi!$C:$S,8,FALSE),0)</f>
        <v>8</v>
      </c>
      <c r="W43" s="60">
        <f>_xlfn.IFNA(VLOOKUP($B43,Dulieutho,ChiTiet!S$2,FALSE),0)</f>
        <v>120</v>
      </c>
    </row>
    <row r="44" spans="1:23" ht="15.6">
      <c r="A44" s="10" t="s">
        <v>93</v>
      </c>
      <c r="B44" s="9" t="s">
        <v>176</v>
      </c>
      <c r="C44" s="11" t="s">
        <v>177</v>
      </c>
      <c r="D44" s="62">
        <f>IFERROR(SUM(_xlfn.IFNA(VLOOKUP($B44,Dulieutho,ChiTiet!J$2,FALSE),0),_xlfn.IFNA(VLOOKUP($B44,Dulieutho,ChiTiet!K$2,FALSE),0),_xlfn.IFNA(VLOOKUP($B44,Dulieutho,ChiTiet!AK$2,FALSE),0),_xlfn.IFNA(VLOOKUP($B44,Dulieutho,ChiTiet!AL$2,FALSE),0))*100/_xlfn.IFNA(VLOOKUP($B44,SOP_Banh!$C:$X,7,FALSE),0),0)-100</f>
        <v>19.230769230769226</v>
      </c>
      <c r="E44" s="61">
        <f>IFERROR(_xlfn.IFNA(VLOOKUP($B44,QuyDoi_DonVi!$C:$S,12,FALSE),0)*100/_xlfn.IFNA(VLOOKUP($B44,SOP_Banh!$C:$X,8,FALSE),0),0)-100</f>
        <v>132.55813953488371</v>
      </c>
      <c r="F44" s="61">
        <f>IFERROR(_xlfn.IFNA(VLOOKUP($B44,QuyDoi_DonVi!$C:$S,13,FALSE),0)*100/_xlfn.IFNA(VLOOKUP($B44,SOP_Banh!$C:$X,9,FALSE),0),0)-100</f>
        <v>-30.555555555555557</v>
      </c>
      <c r="G44" s="63">
        <f>IFERROR(_xlfn.IFNA(VLOOKUP($B44,Dulieutho,ChiTiet!Z$2,FALSE),0)*100/_xlfn.IFNA(VLOOKUP($B44,SOP_Banh!$C:$X,10,FALSE),0),0)-100</f>
        <v>11.111111111111114</v>
      </c>
      <c r="H44" s="61">
        <f>IFERROR(SUM(_xlfn.IFNA(VLOOKUP($B44,Dulieutho,ChiTiet!AB$2,FALSE),0),_xlfn.IFNA(VLOOKUP($B44,Dulieutho,ChiTiet!AC$2,FALSE),0))*100/_xlfn.IFNA(VLOOKUP($B44,SOP_Banh!$C:$X,20,FALSE),0)-100,0)</f>
        <v>-10.256410256410263</v>
      </c>
      <c r="I44" s="61">
        <f>IFERROR(_xlfn.IFNA(VLOOKUP($B44,Dulieutho,ChiTiet!AF$2,FALSE),0)*100/_xlfn.IFNA(VLOOKUP($B44,SOP_Banh!$C:$X,21,FALSE),0)-100,0)</f>
        <v>25</v>
      </c>
      <c r="J44" s="61">
        <f>IFERROR(_xlfn.IFNA(VLOOKUP($B44,Dulieutho,ChiTiet!AD$2,FALSE),0)*100/_xlfn.IFNA(VLOOKUP($B44,SOP_Banh!$C:$X,22,FALSE),0)-100,0)</f>
        <v>19.047619047619051</v>
      </c>
      <c r="K44" s="61">
        <f>IFERROR(_xlfn.IFNA(VLOOKUP($B44,QuyDoi_DonVi!$C:$S,3,FALSE),0)*100/_xlfn.IFNA(VLOOKUP($B44,SOP_Banh!$C:$X,12,FALSE),0),0)-100</f>
        <v>19.047619047619051</v>
      </c>
      <c r="L44" s="61">
        <f>IFERROR(_xlfn.IFNA(VLOOKUP($B44,QuyDoi_DonVi!$C:$S,5,FALSE),0)*100/(_xlfn.IFNA(VLOOKUP($B44,SOP_Banh!$C:$X,13,FALSE),0)*16)-100,0)</f>
        <v>-23.80952380952381</v>
      </c>
      <c r="M44" s="61">
        <f>IFERROR(_xlfn.IFNA(VLOOKUP($B44,QuyDoi_DonVi!$C:$S,4,FALSE),0)*100/_xlfn.IFNA(VLOOKUP($B44,SOP_Banh!$C:$X,14,FALSE),0),0)-100</f>
        <v>-100</v>
      </c>
      <c r="N44" s="61">
        <f>IFERROR(_xlfn.IFNA(VLOOKUP($B44,Dulieutho,ChiTiet!L$2,FALSE),0)*100/_xlfn.IFNA(VLOOKUP($B44,SOP_Banh!$C:$X,15,FALSE),0),0)-100</f>
        <v>12.5</v>
      </c>
      <c r="O44" s="61">
        <f>IFERROR(_xlfn.IFNA(VLOOKUP($B44,Dulieutho,ChiTiet!AJ$2,FALSE),0)*192*100/_xlfn.IFNA(VLOOKUP($B44,SOP_Banh!$C:$X,16,FALSE),0)-100,0)</f>
        <v>-18.644067796610173</v>
      </c>
      <c r="P44" s="61">
        <f>IFERROR(_xlfn.IFNA(VLOOKUP($B44,Dulieutho,ChiTiet!AG$2,FALSE),0)*100/_xlfn.IFNA(VLOOKUP($B44,SOP_Nuoc!$C:$H,3,FALSE),0)-100,0)</f>
        <v>5.9322033898305051</v>
      </c>
      <c r="Q44" s="63">
        <f>IFERROR(_xlfn.IFNA(VLOOKUP($B44,Dulieutho,ChiTiet!AH$2,FALSE),0)*3600*100/_xlfn.IFNA(VLOOKUP($B44,SOP_Banh!$C:$X,18,FALSE),0)-100,0)</f>
        <v>281.35593220338984</v>
      </c>
      <c r="R44" s="61">
        <f>IFERROR(_xlfn.IFNA(VLOOKUP($B44,QuyDoi_DonVi!$C:$S,17,FALSE),0)*100/_xlfn.IFNA(VLOOKUP($B44,SOP_Banh!$C:$X,19,FALSE),0),0)-100</f>
        <v>5.9322033898305051</v>
      </c>
      <c r="S44" s="60">
        <f>_xlfn.IFNA(VLOOKUP($B44,SOP_Nuoc!$C:$W,19,FALSE),0)</f>
        <v>0</v>
      </c>
      <c r="T44" s="60">
        <f>IF(S44&lt;&gt;0,IFERROR(_xlfn.IFNA(VLOOKUP($B44,QuyDoi_DonVi!$C:$S,7,FALSE),0)*100/_xlfn.IFNA(VLOOKUP($B44,SOP_Nuoc!$C:$W,20,FALSE),0),0)-100,0)</f>
        <v>0</v>
      </c>
      <c r="U44" s="60">
        <f>_xlfn.IFNA(VLOOKUP($B44,QuyDoi_DonVi!$C:$S,10,FALSE),0)</f>
        <v>12</v>
      </c>
      <c r="V44" s="60">
        <f>_xlfn.IFNA(VLOOKUP($B44,QuyDoi_DonVi!$C:$S,8,FALSE),0)</f>
        <v>0</v>
      </c>
      <c r="W44" s="60">
        <f>_xlfn.IFNA(VLOOKUP($B44,Dulieutho,ChiTiet!S$2,FALSE),0)</f>
        <v>72</v>
      </c>
    </row>
    <row r="45" spans="1:23" ht="15.6">
      <c r="A45" s="10" t="s">
        <v>93</v>
      </c>
      <c r="B45" s="9" t="s">
        <v>178</v>
      </c>
      <c r="C45" s="11" t="s">
        <v>179</v>
      </c>
      <c r="D45" s="62">
        <f>IFERROR(SUM(_xlfn.IFNA(VLOOKUP($B45,Dulieutho,ChiTiet!J$2,FALSE),0),_xlfn.IFNA(VLOOKUP($B45,Dulieutho,ChiTiet!K$2,FALSE),0),_xlfn.IFNA(VLOOKUP($B45,Dulieutho,ChiTiet!AK$2,FALSE),0),_xlfn.IFNA(VLOOKUP($B45,Dulieutho,ChiTiet!AL$2,FALSE),0))*100/_xlfn.IFNA(VLOOKUP($B45,SOP_Banh!$C:$X,7,FALSE),0),0)-100</f>
        <v>3.448275862068968</v>
      </c>
      <c r="E45" s="61">
        <f>IFERROR(_xlfn.IFNA(VLOOKUP($B45,QuyDoi_DonVi!$C:$S,12,FALSE),0)*100/_xlfn.IFNA(VLOOKUP($B45,SOP_Banh!$C:$X,8,FALSE),0),0)-100</f>
        <v>69.779286926994899</v>
      </c>
      <c r="F45" s="61">
        <f>IFERROR(_xlfn.IFNA(VLOOKUP($B45,QuyDoi_DonVi!$C:$S,13,FALSE),0)*100/_xlfn.IFNA(VLOOKUP($B45,SOP_Banh!$C:$X,9,FALSE),0),0)-100</f>
        <v>-13.043478260869563</v>
      </c>
      <c r="G45" s="63">
        <f>IFERROR(_xlfn.IFNA(VLOOKUP($B45,Dulieutho,ChiTiet!Z$2,FALSE),0)*100/_xlfn.IFNA(VLOOKUP($B45,SOP_Banh!$C:$X,10,FALSE),0),0)-100</f>
        <v>15.94202898550725</v>
      </c>
      <c r="H45" s="61">
        <f>IFERROR(SUM(_xlfn.IFNA(VLOOKUP($B45,Dulieutho,ChiTiet!AB$2,FALSE),0),_xlfn.IFNA(VLOOKUP($B45,Dulieutho,ChiTiet!AC$2,FALSE),0))*100/_xlfn.IFNA(VLOOKUP($B45,SOP_Banh!$C:$X,20,FALSE),0)-100,0)</f>
        <v>-41.016333938294011</v>
      </c>
      <c r="I45" s="61">
        <f>IFERROR(_xlfn.IFNA(VLOOKUP($B45,Dulieutho,ChiTiet!AF$2,FALSE),0)*100/_xlfn.IFNA(VLOOKUP($B45,SOP_Banh!$C:$X,21,FALSE),0)-100,0)</f>
        <v>31.578947368421041</v>
      </c>
      <c r="J45" s="61">
        <f>IFERROR(_xlfn.IFNA(VLOOKUP($B45,Dulieutho,ChiTiet!AD$2,FALSE),0)*100/_xlfn.IFNA(VLOOKUP($B45,SOP_Banh!$C:$X,22,FALSE),0)-100,0)</f>
        <v>108.33333333333334</v>
      </c>
      <c r="K45" s="61">
        <f>IFERROR(_xlfn.IFNA(VLOOKUP($B45,QuyDoi_DonVi!$C:$S,3,FALSE),0)*100/_xlfn.IFNA(VLOOKUP($B45,SOP_Banh!$C:$X,12,FALSE),0),0)-100</f>
        <v>-100</v>
      </c>
      <c r="L45" s="61">
        <f>IFERROR(_xlfn.IFNA(VLOOKUP($B45,QuyDoi_DonVi!$C:$S,5,FALSE),0)*100/(_xlfn.IFNA(VLOOKUP($B45,SOP_Banh!$C:$X,13,FALSE),0)*16)-100,0)</f>
        <v>-100</v>
      </c>
      <c r="M45" s="61">
        <f>IFERROR(_xlfn.IFNA(VLOOKUP($B45,QuyDoi_DonVi!$C:$S,4,FALSE),0)*100/_xlfn.IFNA(VLOOKUP($B45,SOP_Banh!$C:$X,14,FALSE),0),0)-100</f>
        <v>316.66666666666669</v>
      </c>
      <c r="N45" s="61">
        <f>IFERROR(_xlfn.IFNA(VLOOKUP($B45,Dulieutho,ChiTiet!L$2,FALSE),0)*100/_xlfn.IFNA(VLOOKUP($B45,SOP_Banh!$C:$X,15,FALSE),0),0)-100</f>
        <v>-7.8947368421052602</v>
      </c>
      <c r="O45" s="61">
        <f>IFERROR(_xlfn.IFNA(VLOOKUP($B45,Dulieutho,ChiTiet!AJ$2,FALSE),0)*192*100/_xlfn.IFNA(VLOOKUP($B45,SOP_Banh!$C:$X,16,FALSE),0)-100,0)</f>
        <v>-6.0358890701468226</v>
      </c>
      <c r="P45" s="61">
        <f>IFERROR(_xlfn.IFNA(VLOOKUP($B45,Dulieutho,ChiTiet!AG$2,FALSE),0)*100/_xlfn.IFNA(VLOOKUP($B45,SOP_Nuoc!$C:$H,3,FALSE),0)-100,0)</f>
        <v>-18.433931484502452</v>
      </c>
      <c r="Q45" s="63">
        <f>IFERROR(_xlfn.IFNA(VLOOKUP($B45,Dulieutho,ChiTiet!AH$2,FALSE),0)*3600*100/_xlfn.IFNA(VLOOKUP($B45,SOP_Banh!$C:$X,18,FALSE),0)-100,0)</f>
        <v>-100</v>
      </c>
      <c r="R45" s="61">
        <f>IFERROR(_xlfn.IFNA(VLOOKUP($B45,QuyDoi_DonVi!$C:$S,17,FALSE),0)*100/_xlfn.IFNA(VLOOKUP($B45,SOP_Banh!$C:$X,19,FALSE),0),0)-100</f>
        <v>-18.433931484502452</v>
      </c>
      <c r="S45" s="60">
        <f>_xlfn.IFNA(VLOOKUP($B45,SOP_Nuoc!$C:$W,19,FALSE),0)</f>
        <v>25</v>
      </c>
      <c r="T45" s="60">
        <f>IF(S45&lt;&gt;0,IFERROR(_xlfn.IFNA(VLOOKUP($B45,QuyDoi_DonVi!$C:$S,7,FALSE),0)*100/_xlfn.IFNA(VLOOKUP($B45,SOP_Nuoc!$C:$W,20,FALSE),0),0)-100,0)</f>
        <v>-56.000000000000007</v>
      </c>
      <c r="U45" s="60">
        <f>_xlfn.IFNA(VLOOKUP($B45,QuyDoi_DonVi!$C:$S,10,FALSE),0)</f>
        <v>24</v>
      </c>
      <c r="V45" s="60">
        <f>_xlfn.IFNA(VLOOKUP($B45,QuyDoi_DonVi!$C:$S,8,FALSE),0)</f>
        <v>5</v>
      </c>
      <c r="W45" s="60">
        <f>_xlfn.IFNA(VLOOKUP($B45,Dulieutho,ChiTiet!S$2,FALSE),0)</f>
        <v>60</v>
      </c>
    </row>
    <row r="46" spans="1:23" ht="15.6">
      <c r="A46" s="10" t="s">
        <v>93</v>
      </c>
      <c r="B46" s="9" t="s">
        <v>180</v>
      </c>
      <c r="C46" s="11" t="s">
        <v>181</v>
      </c>
      <c r="D46" s="62">
        <f>IFERROR(SUM(_xlfn.IFNA(VLOOKUP($B46,Dulieutho,ChiTiet!J$2,FALSE),0),_xlfn.IFNA(VLOOKUP($B46,Dulieutho,ChiTiet!K$2,FALSE),0),_xlfn.IFNA(VLOOKUP($B46,Dulieutho,ChiTiet!AK$2,FALSE),0),_xlfn.IFNA(VLOOKUP($B46,Dulieutho,ChiTiet!AL$2,FALSE),0))*100/_xlfn.IFNA(VLOOKUP($B46,SOP_Banh!$C:$X,7,FALSE),0),0)-100</f>
        <v>11.738148984198645</v>
      </c>
      <c r="E46" s="61">
        <f>IFERROR(_xlfn.IFNA(VLOOKUP($B46,QuyDoi_DonVi!$C:$S,12,FALSE),0)*100/_xlfn.IFNA(VLOOKUP($B46,SOP_Banh!$C:$X,8,FALSE),0),0)-100</f>
        <v>107.03933747412009</v>
      </c>
      <c r="F46" s="61">
        <f>IFERROR(_xlfn.IFNA(VLOOKUP($B46,QuyDoi_DonVi!$C:$S,13,FALSE),0)*100/_xlfn.IFNA(VLOOKUP($B46,SOP_Banh!$C:$X,9,FALSE),0),0)-100</f>
        <v>141.44869215291752</v>
      </c>
      <c r="G46" s="63">
        <f>IFERROR(_xlfn.IFNA(VLOOKUP($B46,Dulieutho,ChiTiet!Z$2,FALSE),0)*100/_xlfn.IFNA(VLOOKUP($B46,SOP_Banh!$C:$X,10,FALSE),0),0)-100</f>
        <v>77.777777777777771</v>
      </c>
      <c r="H46" s="61">
        <f>IFERROR(SUM(_xlfn.IFNA(VLOOKUP($B46,Dulieutho,ChiTiet!AB$2,FALSE),0),_xlfn.IFNA(VLOOKUP($B46,Dulieutho,ChiTiet!AC$2,FALSE),0))*100/_xlfn.IFNA(VLOOKUP($B46,SOP_Banh!$C:$X,20,FALSE),0)-100,0)</f>
        <v>-71.783295711060944</v>
      </c>
      <c r="I46" s="61">
        <f>IFERROR(_xlfn.IFNA(VLOOKUP($B46,Dulieutho,ChiTiet!AF$2,FALSE),0)*100/_xlfn.IFNA(VLOOKUP($B46,SOP_Banh!$C:$X,21,FALSE),0)-100,0)</f>
        <v>25</v>
      </c>
      <c r="J46" s="61">
        <f>IFERROR(_xlfn.IFNA(VLOOKUP($B46,Dulieutho,ChiTiet!AD$2,FALSE),0)*100/_xlfn.IFNA(VLOOKUP($B46,SOP_Banh!$C:$X,22,FALSE),0)-100,0)</f>
        <v>85.18518518518519</v>
      </c>
      <c r="K46" s="61">
        <f>IFERROR(_xlfn.IFNA(VLOOKUP($B46,QuyDoi_DonVi!$C:$S,3,FALSE),0)*100/_xlfn.IFNA(VLOOKUP($B46,SOP_Banh!$C:$X,12,FALSE),0),0)-100</f>
        <v>-7.4074074074074048</v>
      </c>
      <c r="L46" s="61">
        <f>IFERROR(_xlfn.IFNA(VLOOKUP($B46,QuyDoi_DonVi!$C:$S,5,FALSE),0)*100/(_xlfn.IFNA(VLOOKUP($B46,SOP_Banh!$C:$X,13,FALSE),0)*16)-100,0)</f>
        <v>48.148148148148152</v>
      </c>
      <c r="M46" s="61">
        <f>IFERROR(_xlfn.IFNA(VLOOKUP($B46,QuyDoi_DonVi!$C:$S,4,FALSE),0)*100/_xlfn.IFNA(VLOOKUP($B46,SOP_Banh!$C:$X,14,FALSE),0),0)-100</f>
        <v>270.37037037037038</v>
      </c>
      <c r="N46" s="61">
        <f>IFERROR(_xlfn.IFNA(VLOOKUP($B46,Dulieutho,ChiTiet!L$2,FALSE),0)*100/_xlfn.IFNA(VLOOKUP($B46,SOP_Banh!$C:$X,15,FALSE),0),0)-100</f>
        <v>12.5</v>
      </c>
      <c r="O46" s="61">
        <f>IFERROR(_xlfn.IFNA(VLOOKUP($B46,Dulieutho,ChiTiet!AJ$2,FALSE),0)*192*100/_xlfn.IFNA(VLOOKUP($B46,SOP_Banh!$C:$X,16,FALSE),0)-100,0)</f>
        <v>-46.368715083798882</v>
      </c>
      <c r="P46" s="61">
        <f>IFERROR(_xlfn.IFNA(VLOOKUP($B46,Dulieutho,ChiTiet!AG$2,FALSE),0)*100/_xlfn.IFNA(VLOOKUP($B46,SOP_Nuoc!$C:$H,3,FALSE),0)-100,0)</f>
        <v>-6.8901303538175114</v>
      </c>
      <c r="Q46" s="63">
        <f>IFERROR(_xlfn.IFNA(VLOOKUP($B46,Dulieutho,ChiTiet!AH$2,FALSE),0)*3600*100/_xlfn.IFNA(VLOOKUP($B46,SOP_Banh!$C:$X,18,FALSE),0)-100,0)</f>
        <v>-100</v>
      </c>
      <c r="R46" s="61">
        <f>IFERROR(_xlfn.IFNA(VLOOKUP($B46,QuyDoi_DonVi!$C:$S,17,FALSE),0)*100/_xlfn.IFNA(VLOOKUP($B46,SOP_Banh!$C:$X,19,FALSE),0),0)-100</f>
        <v>-6.8901303538175114</v>
      </c>
      <c r="S46" s="60">
        <f>_xlfn.IFNA(VLOOKUP($B46,SOP_Nuoc!$C:$W,19,FALSE),0)</f>
        <v>25</v>
      </c>
      <c r="T46" s="60">
        <f>IF(S46&lt;&gt;0,IFERROR(_xlfn.IFNA(VLOOKUP($B46,QuyDoi_DonVi!$C:$S,7,FALSE),0)*100/_xlfn.IFNA(VLOOKUP($B46,SOP_Nuoc!$C:$W,20,FALSE),0),0)-100,0)</f>
        <v>-56.000000000000007</v>
      </c>
      <c r="U46" s="60">
        <f>_xlfn.IFNA(VLOOKUP($B46,QuyDoi_DonVi!$C:$S,10,FALSE),0)</f>
        <v>12</v>
      </c>
      <c r="V46" s="60">
        <f>_xlfn.IFNA(VLOOKUP($B46,QuyDoi_DonVi!$C:$S,8,FALSE),0)</f>
        <v>8.5</v>
      </c>
      <c r="W46" s="60">
        <f>_xlfn.IFNA(VLOOKUP($B46,Dulieutho,ChiTiet!S$2,FALSE),0)</f>
        <v>36</v>
      </c>
    </row>
    <row r="47" spans="1:23" ht="15.6">
      <c r="A47" s="10" t="s">
        <v>93</v>
      </c>
      <c r="B47" s="9" t="s">
        <v>182</v>
      </c>
      <c r="C47" s="11" t="s">
        <v>183</v>
      </c>
      <c r="D47" s="62">
        <f>IFERROR(SUM(_xlfn.IFNA(VLOOKUP($B47,Dulieutho,ChiTiet!J$2,FALSE),0),_xlfn.IFNA(VLOOKUP($B47,Dulieutho,ChiTiet!K$2,FALSE),0),_xlfn.IFNA(VLOOKUP($B47,Dulieutho,ChiTiet!AK$2,FALSE),0),_xlfn.IFNA(VLOOKUP($B47,Dulieutho,ChiTiet!AL$2,FALSE),0))*100/_xlfn.IFNA(VLOOKUP($B47,SOP_Banh!$C:$X,7,FALSE),0),0)-100</f>
        <v>-6.6147859922179038</v>
      </c>
      <c r="E47" s="61">
        <f>IFERROR(_xlfn.IFNA(VLOOKUP($B47,QuyDoi_DonVi!$C:$S,12,FALSE),0)*100/_xlfn.IFNA(VLOOKUP($B47,SOP_Banh!$C:$X,8,FALSE),0),0)-100</f>
        <v>112.01413427561837</v>
      </c>
      <c r="F47" s="61">
        <f>IFERROR(_xlfn.IFNA(VLOOKUP($B47,QuyDoi_DonVi!$C:$S,13,FALSE),0)*100/_xlfn.IFNA(VLOOKUP($B47,SOP_Banh!$C:$X,9,FALSE),0),0)-100</f>
        <v>-63.636363636363633</v>
      </c>
      <c r="G47" s="63">
        <f>IFERROR(_xlfn.IFNA(VLOOKUP($B47,Dulieutho,ChiTiet!Z$2,FALSE),0)*100/_xlfn.IFNA(VLOOKUP($B47,SOP_Banh!$C:$X,10,FALSE),0),0)-100</f>
        <v>255.55555555555554</v>
      </c>
      <c r="H47" s="61">
        <f>IFERROR(SUM(_xlfn.IFNA(VLOOKUP($B47,Dulieutho,ChiTiet!AB$2,FALSE),0),_xlfn.IFNA(VLOOKUP($B47,Dulieutho,ChiTiet!AC$2,FALSE),0))*100/_xlfn.IFNA(VLOOKUP($B47,SOP_Banh!$C:$X,20,FALSE),0)-100,0)</f>
        <v>-22.178988326848255</v>
      </c>
      <c r="I47" s="61">
        <f>IFERROR(_xlfn.IFNA(VLOOKUP($B47,Dulieutho,ChiTiet!AF$2,FALSE),0)*100/_xlfn.IFNA(VLOOKUP($B47,SOP_Banh!$C:$X,21,FALSE),0)-100,0)</f>
        <v>-100</v>
      </c>
      <c r="J47" s="61">
        <f>IFERROR(_xlfn.IFNA(VLOOKUP($B47,Dulieutho,ChiTiet!AD$2,FALSE),0)*100/_xlfn.IFNA(VLOOKUP($B47,SOP_Banh!$C:$X,22,FALSE),0)-100,0)</f>
        <v>-100</v>
      </c>
      <c r="K47" s="61">
        <f>IFERROR(_xlfn.IFNA(VLOOKUP($B47,QuyDoi_DonVi!$C:$S,3,FALSE),0)*100/_xlfn.IFNA(VLOOKUP($B47,SOP_Banh!$C:$X,12,FALSE),0),0)-100</f>
        <v>-100</v>
      </c>
      <c r="L47" s="61">
        <f>IFERROR(_xlfn.IFNA(VLOOKUP($B47,QuyDoi_DonVi!$C:$S,5,FALSE),0)*100/(_xlfn.IFNA(VLOOKUP($B47,SOP_Banh!$C:$X,13,FALSE),0)*16)-100,0)</f>
        <v>-11.111111111111114</v>
      </c>
      <c r="M47" s="61">
        <f>IFERROR(_xlfn.IFNA(VLOOKUP($B47,QuyDoi_DonVi!$C:$S,4,FALSE),0)*100/_xlfn.IFNA(VLOOKUP($B47,SOP_Banh!$C:$X,14,FALSE),0),0)-100</f>
        <v>-100</v>
      </c>
      <c r="N47" s="61">
        <f>IFERROR(_xlfn.IFNA(VLOOKUP($B47,Dulieutho,ChiTiet!L$2,FALSE),0)*100/_xlfn.IFNA(VLOOKUP($B47,SOP_Banh!$C:$X,15,FALSE),0),0)-100</f>
        <v>-42.307692307692307</v>
      </c>
      <c r="O47" s="61">
        <f>IFERROR(_xlfn.IFNA(VLOOKUP($B47,Dulieutho,ChiTiet!AJ$2,FALSE),0)*192*100/_xlfn.IFNA(VLOOKUP($B47,SOP_Banh!$C:$X,16,FALSE),0)-100,0)</f>
        <v>59.468438538205987</v>
      </c>
      <c r="P47" s="61">
        <f>IFERROR(_xlfn.IFNA(VLOOKUP($B47,Dulieutho,ChiTiet!AG$2,FALSE),0)*100/_xlfn.IFNA(VLOOKUP($B47,SOP_Nuoc!$C:$H,3,FALSE),0)-100,0)</f>
        <v>66.112956810631232</v>
      </c>
      <c r="Q47" s="63">
        <f>IFERROR(_xlfn.IFNA(VLOOKUP($B47,Dulieutho,ChiTiet!AH$2,FALSE),0)*3600*100/_xlfn.IFNA(VLOOKUP($B47,SOP_Banh!$C:$X,18,FALSE),0)-100,0)</f>
        <v>-100</v>
      </c>
      <c r="R47" s="61">
        <f>IFERROR(_xlfn.IFNA(VLOOKUP($B47,QuyDoi_DonVi!$C:$S,17,FALSE),0)*100/_xlfn.IFNA(VLOOKUP($B47,SOP_Banh!$C:$X,19,FALSE),0),0)-100</f>
        <v>66.112956810631232</v>
      </c>
      <c r="S47" s="60">
        <f>_xlfn.IFNA(VLOOKUP($B47,SOP_Nuoc!$C:$W,19,FALSE),0)</f>
        <v>0</v>
      </c>
      <c r="T47" s="60">
        <f>IF(S47&lt;&gt;0,IFERROR(_xlfn.IFNA(VLOOKUP($B47,QuyDoi_DonVi!$C:$S,7,FALSE),0)*100/_xlfn.IFNA(VLOOKUP($B47,SOP_Nuoc!$C:$W,20,FALSE),0),0)-100,0)</f>
        <v>0</v>
      </c>
      <c r="U47" s="60">
        <f>_xlfn.IFNA(VLOOKUP($B47,QuyDoi_DonVi!$C:$S,10,FALSE),0)</f>
        <v>0</v>
      </c>
      <c r="V47" s="60">
        <f>_xlfn.IFNA(VLOOKUP($B47,QuyDoi_DonVi!$C:$S,8,FALSE),0)</f>
        <v>5</v>
      </c>
      <c r="W47" s="60">
        <f>_xlfn.IFNA(VLOOKUP($B47,Dulieutho,ChiTiet!S$2,FALSE),0)</f>
        <v>12</v>
      </c>
    </row>
    <row r="48" spans="1:23" ht="15.6">
      <c r="A48" s="10" t="s">
        <v>93</v>
      </c>
      <c r="B48" s="9" t="s">
        <v>184</v>
      </c>
      <c r="C48" s="11" t="s">
        <v>185</v>
      </c>
      <c r="D48" s="62">
        <f>IFERROR(SUM(_xlfn.IFNA(VLOOKUP($B48,Dulieutho,ChiTiet!J$2,FALSE),0),_xlfn.IFNA(VLOOKUP($B48,Dulieutho,ChiTiet!K$2,FALSE),0),_xlfn.IFNA(VLOOKUP($B48,Dulieutho,ChiTiet!AK$2,FALSE),0),_xlfn.IFNA(VLOOKUP($B48,Dulieutho,ChiTiet!AL$2,FALSE),0))*100/_xlfn.IFNA(VLOOKUP($B48,SOP_Banh!$C:$X,7,FALSE),0),0)-100</f>
        <v>137.96033994334277</v>
      </c>
      <c r="E48" s="61">
        <f>IFERROR(_xlfn.IFNA(VLOOKUP($B48,QuyDoi_DonVi!$C:$S,12,FALSE),0)*100/_xlfn.IFNA(VLOOKUP($B48,SOP_Banh!$C:$X,8,FALSE),0),0)-100</f>
        <v>51.133501259445836</v>
      </c>
      <c r="F48" s="61">
        <f>IFERROR(_xlfn.IFNA(VLOOKUP($B48,QuyDoi_DonVi!$C:$S,13,FALSE),0)*100/_xlfn.IFNA(VLOOKUP($B48,SOP_Banh!$C:$X,9,FALSE),0),0)-100</f>
        <v>-1.7199017199017135</v>
      </c>
      <c r="G48" s="63">
        <f>IFERROR(_xlfn.IFNA(VLOOKUP($B48,Dulieutho,ChiTiet!Z$2,FALSE),0)*100/_xlfn.IFNA(VLOOKUP($B48,SOP_Banh!$C:$X,10,FALSE),0),0)-100</f>
        <v>6.6666666666666714</v>
      </c>
      <c r="H48" s="61">
        <f>IFERROR(SUM(_xlfn.IFNA(VLOOKUP($B48,Dulieutho,ChiTiet!AB$2,FALSE),0),_xlfn.IFNA(VLOOKUP($B48,Dulieutho,ChiTiet!AC$2,FALSE),0))*100/_xlfn.IFNA(VLOOKUP($B48,SOP_Banh!$C:$X,20,FALSE),0)-100,0)</f>
        <v>-43.342776203966004</v>
      </c>
      <c r="I48" s="61">
        <f>IFERROR(_xlfn.IFNA(VLOOKUP($B48,Dulieutho,ChiTiet!AF$2,FALSE),0)*100/_xlfn.IFNA(VLOOKUP($B48,SOP_Banh!$C:$X,21,FALSE),0)-100,0)</f>
        <v>-100</v>
      </c>
      <c r="J48" s="61">
        <f>IFERROR(_xlfn.IFNA(VLOOKUP($B48,Dulieutho,ChiTiet!AD$2,FALSE),0)*100/_xlfn.IFNA(VLOOKUP($B48,SOP_Banh!$C:$X,22,FALSE),0)-100,0)</f>
        <v>-100</v>
      </c>
      <c r="K48" s="61">
        <f>IFERROR(_xlfn.IFNA(VLOOKUP($B48,QuyDoi_DonVi!$C:$S,3,FALSE),0)*100/_xlfn.IFNA(VLOOKUP($B48,SOP_Banh!$C:$X,12,FALSE),0),0)-100</f>
        <v>-100</v>
      </c>
      <c r="L48" s="61">
        <f>IFERROR(_xlfn.IFNA(VLOOKUP($B48,QuyDoi_DonVi!$C:$S,5,FALSE),0)*100/(_xlfn.IFNA(VLOOKUP($B48,SOP_Banh!$C:$X,13,FALSE),0)*16)-100,0)</f>
        <v>-100</v>
      </c>
      <c r="M48" s="61">
        <f>IFERROR(_xlfn.IFNA(VLOOKUP($B48,QuyDoi_DonVi!$C:$S,4,FALSE),0)*100/_xlfn.IFNA(VLOOKUP($B48,SOP_Banh!$C:$X,14,FALSE),0),0)-100</f>
        <v>-100</v>
      </c>
      <c r="N48" s="61">
        <f>IFERROR(_xlfn.IFNA(VLOOKUP($B48,Dulieutho,ChiTiet!L$2,FALSE),0)*100/_xlfn.IFNA(VLOOKUP($B48,SOP_Banh!$C:$X,15,FALSE),0),0)-100</f>
        <v>-54.545454545454547</v>
      </c>
      <c r="O48" s="61">
        <f>IFERROR(_xlfn.IFNA(VLOOKUP($B48,Dulieutho,ChiTiet!AJ$2,FALSE),0)*192*100/_xlfn.IFNA(VLOOKUP($B48,SOP_Banh!$C:$X,16,FALSE),0)-100,0)</f>
        <v>-14.855875831485591</v>
      </c>
      <c r="P48" s="61">
        <f>IFERROR(_xlfn.IFNA(VLOOKUP($B48,Dulieutho,ChiTiet!AG$2,FALSE),0)*100/_xlfn.IFNA(VLOOKUP($B48,SOP_Nuoc!$C:$H,3,FALSE),0)-100,0)</f>
        <v>-100</v>
      </c>
      <c r="Q48" s="63">
        <f>IFERROR(_xlfn.IFNA(VLOOKUP($B48,Dulieutho,ChiTiet!AH$2,FALSE),0)*3600*100/_xlfn.IFNA(VLOOKUP($B48,SOP_Banh!$C:$X,18,FALSE),0)-100,0)</f>
        <v>-100</v>
      </c>
      <c r="R48" s="61">
        <f>IFERROR(_xlfn.IFNA(VLOOKUP($B48,QuyDoi_DonVi!$C:$S,17,FALSE),0)*100/_xlfn.IFNA(VLOOKUP($B48,SOP_Banh!$C:$X,19,FALSE),0),0)-100</f>
        <v>-100</v>
      </c>
      <c r="S48" s="60">
        <f>_xlfn.IFNA(VLOOKUP($B48,SOP_Nuoc!$C:$W,19,FALSE),0)</f>
        <v>0</v>
      </c>
      <c r="T48" s="60">
        <f>IF(S48&lt;&gt;0,IFERROR(_xlfn.IFNA(VLOOKUP($B48,QuyDoi_DonVi!$C:$S,7,FALSE),0)*100/_xlfn.IFNA(VLOOKUP($B48,SOP_Nuoc!$C:$W,20,FALSE),0),0)-100,0)</f>
        <v>0</v>
      </c>
      <c r="U48" s="60">
        <f>_xlfn.IFNA(VLOOKUP($B48,QuyDoi_DonVi!$C:$S,10,FALSE),0)</f>
        <v>0</v>
      </c>
      <c r="V48" s="60">
        <f>_xlfn.IFNA(VLOOKUP($B48,QuyDoi_DonVi!$C:$S,8,FALSE),0)</f>
        <v>12</v>
      </c>
      <c r="W48" s="60">
        <f>_xlfn.IFNA(VLOOKUP($B48,Dulieutho,ChiTiet!S$2,FALSE),0)</f>
        <v>36</v>
      </c>
    </row>
    <row r="49" spans="1:23" ht="15.6">
      <c r="A49" s="10" t="s">
        <v>93</v>
      </c>
      <c r="B49" s="9" t="s">
        <v>186</v>
      </c>
      <c r="C49" s="11" t="s">
        <v>187</v>
      </c>
      <c r="D49" s="62">
        <f>IFERROR(SUM(_xlfn.IFNA(VLOOKUP($B49,Dulieutho,ChiTiet!J$2,FALSE),0),_xlfn.IFNA(VLOOKUP($B49,Dulieutho,ChiTiet!K$2,FALSE),0),_xlfn.IFNA(VLOOKUP($B49,Dulieutho,ChiTiet!AK$2,FALSE),0),_xlfn.IFNA(VLOOKUP($B49,Dulieutho,ChiTiet!AL$2,FALSE),0))*100/_xlfn.IFNA(VLOOKUP($B49,SOP_Banh!$C:$X,7,FALSE),0),0)-100</f>
        <v>-100</v>
      </c>
      <c r="E49" s="61">
        <f>IFERROR(_xlfn.IFNA(VLOOKUP($B49,QuyDoi_DonVi!$C:$S,12,FALSE),0)*100/_xlfn.IFNA(VLOOKUP($B49,SOP_Banh!$C:$X,8,FALSE),0),0)-100</f>
        <v>-100</v>
      </c>
      <c r="F49" s="61">
        <f>IFERROR(_xlfn.IFNA(VLOOKUP($B49,QuyDoi_DonVi!$C:$S,13,FALSE),0)*100/_xlfn.IFNA(VLOOKUP($B49,SOP_Banh!$C:$X,9,FALSE),0),0)-100</f>
        <v>-100</v>
      </c>
      <c r="G49" s="63">
        <f>IFERROR(_xlfn.IFNA(VLOOKUP($B49,Dulieutho,ChiTiet!Z$2,FALSE),0)*100/_xlfn.IFNA(VLOOKUP($B49,SOP_Banh!$C:$X,10,FALSE),0),0)-100</f>
        <v>-100</v>
      </c>
      <c r="H49" s="61">
        <f>IFERROR(SUM(_xlfn.IFNA(VLOOKUP($B49,Dulieutho,ChiTiet!AB$2,FALSE),0),_xlfn.IFNA(VLOOKUP($B49,Dulieutho,ChiTiet!AC$2,FALSE),0))*100/_xlfn.IFNA(VLOOKUP($B49,SOP_Banh!$C:$X,20,FALSE),0)-100,0)</f>
        <v>0</v>
      </c>
      <c r="I49" s="61">
        <f>IFERROR(_xlfn.IFNA(VLOOKUP($B49,Dulieutho,ChiTiet!AF$2,FALSE),0)*100/_xlfn.IFNA(VLOOKUP($B49,SOP_Banh!$C:$X,21,FALSE),0)-100,0)</f>
        <v>0</v>
      </c>
      <c r="J49" s="61">
        <f>IFERROR(_xlfn.IFNA(VLOOKUP($B49,Dulieutho,ChiTiet!AD$2,FALSE),0)*100/_xlfn.IFNA(VLOOKUP($B49,SOP_Banh!$C:$X,22,FALSE),0)-100,0)</f>
        <v>0</v>
      </c>
      <c r="K49" s="61">
        <f>IFERROR(_xlfn.IFNA(VLOOKUP($B49,QuyDoi_DonVi!$C:$S,3,FALSE),0)*100/_xlfn.IFNA(VLOOKUP($B49,SOP_Banh!$C:$X,12,FALSE),0),0)-100</f>
        <v>-100</v>
      </c>
      <c r="L49" s="61">
        <f>IFERROR(_xlfn.IFNA(VLOOKUP($B49,QuyDoi_DonVi!$C:$S,5,FALSE),0)*100/(_xlfn.IFNA(VLOOKUP($B49,SOP_Banh!$C:$X,13,FALSE),0)*16)-100,0)</f>
        <v>0</v>
      </c>
      <c r="M49" s="61">
        <f>IFERROR(_xlfn.IFNA(VLOOKUP($B49,QuyDoi_DonVi!$C:$S,4,FALSE),0)*100/_xlfn.IFNA(VLOOKUP($B49,SOP_Banh!$C:$X,14,FALSE),0),0)-100</f>
        <v>-100</v>
      </c>
      <c r="N49" s="61">
        <f>IFERROR(_xlfn.IFNA(VLOOKUP($B49,Dulieutho,ChiTiet!L$2,FALSE),0)*100/_xlfn.IFNA(VLOOKUP($B49,SOP_Banh!$C:$X,15,FALSE),0),0)-100</f>
        <v>-100</v>
      </c>
      <c r="O49" s="61">
        <f>IFERROR(_xlfn.IFNA(VLOOKUP($B49,Dulieutho,ChiTiet!AJ$2,FALSE),0)*192*100/_xlfn.IFNA(VLOOKUP($B49,SOP_Banh!$C:$X,16,FALSE),0)-100,0)</f>
        <v>0</v>
      </c>
      <c r="P49" s="61">
        <f>IFERROR(_xlfn.IFNA(VLOOKUP($B49,Dulieutho,ChiTiet!AG$2,FALSE),0)*100/_xlfn.IFNA(VLOOKUP($B49,SOP_Nuoc!$C:$H,3,FALSE),0)-100,0)</f>
        <v>0</v>
      </c>
      <c r="Q49" s="63">
        <f>IFERROR(_xlfn.IFNA(VLOOKUP($B49,Dulieutho,ChiTiet!AH$2,FALSE),0)*3600*100/_xlfn.IFNA(VLOOKUP($B49,SOP_Banh!$C:$X,18,FALSE),0)-100,0)</f>
        <v>0</v>
      </c>
      <c r="R49" s="61">
        <f>IFERROR(_xlfn.IFNA(VLOOKUP($B49,QuyDoi_DonVi!$C:$S,17,FALSE),0)*100/_xlfn.IFNA(VLOOKUP($B49,SOP_Banh!$C:$X,19,FALSE),0),0)-100</f>
        <v>-100</v>
      </c>
      <c r="S49" s="60">
        <f>_xlfn.IFNA(VLOOKUP($B49,SOP_Nuoc!$C:$W,19,FALSE),0)</f>
        <v>0</v>
      </c>
      <c r="T49" s="60">
        <f>IF(S49&lt;&gt;0,IFERROR(_xlfn.IFNA(VLOOKUP($B49,QuyDoi_DonVi!$C:$S,7,FALSE),0)*100/_xlfn.IFNA(VLOOKUP($B49,SOP_Nuoc!$C:$W,20,FALSE),0),0)-100,0)</f>
        <v>0</v>
      </c>
      <c r="U49" s="60">
        <f>_xlfn.IFNA(VLOOKUP($B49,QuyDoi_DonVi!$C:$S,10,FALSE),0)</f>
        <v>0</v>
      </c>
      <c r="V49" s="60">
        <f>_xlfn.IFNA(VLOOKUP($B49,QuyDoi_DonVi!$C:$S,8,FALSE),0)</f>
        <v>0</v>
      </c>
      <c r="W49" s="60">
        <f>_xlfn.IFNA(VLOOKUP($B49,Dulieutho,ChiTiet!S$2,FALSE),0)</f>
        <v>0</v>
      </c>
    </row>
    <row r="50" spans="1:23" ht="15.6">
      <c r="A50" s="10" t="s">
        <v>93</v>
      </c>
      <c r="B50" s="9" t="s">
        <v>188</v>
      </c>
      <c r="C50" s="11" t="s">
        <v>189</v>
      </c>
      <c r="D50" s="62">
        <f>IFERROR(SUM(_xlfn.IFNA(VLOOKUP($B50,Dulieutho,ChiTiet!J$2,FALSE),0),_xlfn.IFNA(VLOOKUP($B50,Dulieutho,ChiTiet!K$2,FALSE),0),_xlfn.IFNA(VLOOKUP($B50,Dulieutho,ChiTiet!AK$2,FALSE),0),_xlfn.IFNA(VLOOKUP($B50,Dulieutho,ChiTiet!AL$2,FALSE),0))*100/_xlfn.IFNA(VLOOKUP($B50,SOP_Banh!$C:$X,7,FALSE),0),0)-100</f>
        <v>10.510046367851629</v>
      </c>
      <c r="E50" s="61">
        <f>IFERROR(_xlfn.IFNA(VLOOKUP($B50,QuyDoi_DonVi!$C:$S,12,FALSE),0)*100/_xlfn.IFNA(VLOOKUP($B50,SOP_Banh!$C:$X,8,FALSE),0),0)-100</f>
        <v>-73.78768020969855</v>
      </c>
      <c r="F50" s="61">
        <f>IFERROR(_xlfn.IFNA(VLOOKUP($B50,QuyDoi_DonVi!$C:$S,13,FALSE),0)*100/_xlfn.IFNA(VLOOKUP($B50,SOP_Banh!$C:$X,9,FALSE),0),0)-100</f>
        <v>-11.894273127753308</v>
      </c>
      <c r="G50" s="63">
        <f>IFERROR(_xlfn.IFNA(VLOOKUP($B50,Dulieutho,ChiTiet!Z$2,FALSE),0)*100/_xlfn.IFNA(VLOOKUP($B50,SOP_Banh!$C:$X,10,FALSE),0),0)-100</f>
        <v>-69.230769230769226</v>
      </c>
      <c r="H50" s="61">
        <f>IFERROR(SUM(_xlfn.IFNA(VLOOKUP($B50,Dulieutho,ChiTiet!AB$2,FALSE),0),_xlfn.IFNA(VLOOKUP($B50,Dulieutho,ChiTiet!AC$2,FALSE),0))*100/_xlfn.IFNA(VLOOKUP($B50,SOP_Banh!$C:$X,20,FALSE),0)-100,0)</f>
        <v>-38.176197836166921</v>
      </c>
      <c r="I50" s="61">
        <f>IFERROR(_xlfn.IFNA(VLOOKUP($B50,Dulieutho,ChiTiet!AF$2,FALSE),0)*100/_xlfn.IFNA(VLOOKUP($B50,SOP_Banh!$C:$X,21,FALSE),0)-100,0)</f>
        <v>0.57471264367815422</v>
      </c>
      <c r="J50" s="61">
        <f>IFERROR(_xlfn.IFNA(VLOOKUP($B50,Dulieutho,ChiTiet!AD$2,FALSE),0)*100/_xlfn.IFNA(VLOOKUP($B50,SOP_Banh!$C:$X,22,FALSE),0)-100,0)</f>
        <v>47.058823529411768</v>
      </c>
      <c r="K50" s="61">
        <f>IFERROR(_xlfn.IFNA(VLOOKUP($B50,QuyDoi_DonVi!$C:$S,3,FALSE),0)*100/_xlfn.IFNA(VLOOKUP($B50,SOP_Banh!$C:$X,12,FALSE),0),0)-100</f>
        <v>-50.980392156862742</v>
      </c>
      <c r="L50" s="61">
        <f>IFERROR(_xlfn.IFNA(VLOOKUP($B50,QuyDoi_DonVi!$C:$S,5,FALSE),0)*100/(_xlfn.IFNA(VLOOKUP($B50,SOP_Banh!$C:$X,13,FALSE),0)*16)-100,0)</f>
        <v>9.8039215686274446</v>
      </c>
      <c r="M50" s="61">
        <f>IFERROR(_xlfn.IFNA(VLOOKUP($B50,QuyDoi_DonVi!$C:$S,4,FALSE),0)*100/_xlfn.IFNA(VLOOKUP($B50,SOP_Banh!$C:$X,14,FALSE),0),0)-100</f>
        <v>96.078431372549034</v>
      </c>
      <c r="N50" s="61">
        <f>IFERROR(_xlfn.IFNA(VLOOKUP($B50,Dulieutho,ChiTiet!L$2,FALSE),0)*100/_xlfn.IFNA(VLOOKUP($B50,SOP_Banh!$C:$X,15,FALSE),0),0)-100</f>
        <v>6.3218390804597675</v>
      </c>
      <c r="O50" s="61">
        <f>IFERROR(_xlfn.IFNA(VLOOKUP($B50,Dulieutho,ChiTiet!AJ$2,FALSE),0)*192*100/_xlfn.IFNA(VLOOKUP($B50,SOP_Banh!$C:$X,16,FALSE),0)-100,0)</f>
        <v>-79.924717691342536</v>
      </c>
      <c r="P50" s="61">
        <f>IFERROR(_xlfn.IFNA(VLOOKUP($B50,Dulieutho,ChiTiet!AG$2,FALSE),0)*100/_xlfn.IFNA(VLOOKUP($B50,SOP_Nuoc!$C:$H,3,FALSE),0)-100,0)</f>
        <v>-58.176495190296947</v>
      </c>
      <c r="Q50" s="63">
        <f>IFERROR(_xlfn.IFNA(VLOOKUP($B50,Dulieutho,ChiTiet!AH$2,FALSE),0)*3600*100/_xlfn.IFNA(VLOOKUP($B50,SOP_Banh!$C:$X,18,FALSE),0)-100,0)</f>
        <v>-100</v>
      </c>
      <c r="R50" s="61">
        <f>IFERROR(_xlfn.IFNA(VLOOKUP($B50,QuyDoi_DonVi!$C:$S,17,FALSE),0)*100/_xlfn.IFNA(VLOOKUP($B50,SOP_Banh!$C:$X,19,FALSE),0),0)-100</f>
        <v>-58.176495190296947</v>
      </c>
      <c r="S50" s="60">
        <f>_xlfn.IFNA(VLOOKUP($B50,SOP_Nuoc!$C:$W,19,FALSE),0)</f>
        <v>25</v>
      </c>
      <c r="T50" s="60">
        <f>IF(S50&lt;&gt;0,IFERROR(_xlfn.IFNA(VLOOKUP($B50,QuyDoi_DonVi!$C:$S,7,FALSE),0)*100/_xlfn.IFNA(VLOOKUP($B50,SOP_Nuoc!$C:$W,20,FALSE),0),0)-100,0)</f>
        <v>-34</v>
      </c>
      <c r="U50" s="60">
        <f>_xlfn.IFNA(VLOOKUP($B50,QuyDoi_DonVi!$C:$S,10,FALSE),0)</f>
        <v>48</v>
      </c>
      <c r="V50" s="60">
        <f>_xlfn.IFNA(VLOOKUP($B50,QuyDoi_DonVi!$C:$S,8,FALSE),0)</f>
        <v>6</v>
      </c>
      <c r="W50" s="60">
        <f>_xlfn.IFNA(VLOOKUP($B50,Dulieutho,ChiTiet!S$2,FALSE),0)</f>
        <v>36</v>
      </c>
    </row>
    <row r="51" spans="1:23" ht="15.6">
      <c r="A51" s="10" t="s">
        <v>93</v>
      </c>
      <c r="B51" s="9" t="s">
        <v>190</v>
      </c>
      <c r="C51" s="11" t="s">
        <v>191</v>
      </c>
      <c r="D51" s="62">
        <f>IFERROR(SUM(_xlfn.IFNA(VLOOKUP($B51,Dulieutho,ChiTiet!J$2,FALSE),0),_xlfn.IFNA(VLOOKUP($B51,Dulieutho,ChiTiet!K$2,FALSE),0),_xlfn.IFNA(VLOOKUP($B51,Dulieutho,ChiTiet!AK$2,FALSE),0),_xlfn.IFNA(VLOOKUP($B51,Dulieutho,ChiTiet!AL$2,FALSE),0))*100/_xlfn.IFNA(VLOOKUP($B51,SOP_Banh!$C:$X,7,FALSE),0),0)-100</f>
        <v>15.78581363004173</v>
      </c>
      <c r="E51" s="61">
        <f>IFERROR(_xlfn.IFNA(VLOOKUP($B51,QuyDoi_DonVi!$C:$S,12,FALSE),0)*100/_xlfn.IFNA(VLOOKUP($B51,SOP_Banh!$C:$X,8,FALSE),0),0)-100</f>
        <v>-36.386768447837149</v>
      </c>
      <c r="F51" s="61">
        <f>IFERROR(_xlfn.IFNA(VLOOKUP($B51,QuyDoi_DonVi!$C:$S,13,FALSE),0)*100/_xlfn.IFNA(VLOOKUP($B51,SOP_Banh!$C:$X,9,FALSE),0),0)-100</f>
        <v>21.802679658952499</v>
      </c>
      <c r="G51" s="63">
        <f>IFERROR(_xlfn.IFNA(VLOOKUP($B51,Dulieutho,ChiTiet!Z$2,FALSE),0)*100/_xlfn.IFNA(VLOOKUP($B51,SOP_Banh!$C:$X,10,FALSE),0),0)-100</f>
        <v>-25.146198830409361</v>
      </c>
      <c r="H51" s="61">
        <f>IFERROR(SUM(_xlfn.IFNA(VLOOKUP($B51,Dulieutho,ChiTiet!AB$2,FALSE),0),_xlfn.IFNA(VLOOKUP($B51,Dulieutho,ChiTiet!AC$2,FALSE),0))*100/_xlfn.IFNA(VLOOKUP($B51,SOP_Banh!$C:$X,20,FALSE),0)-100,0)</f>
        <v>-47.844228094575797</v>
      </c>
      <c r="I51" s="61">
        <f>IFERROR(_xlfn.IFNA(VLOOKUP($B51,Dulieutho,ChiTiet!AF$2,FALSE),0)*100/_xlfn.IFNA(VLOOKUP($B51,SOP_Banh!$C:$X,21,FALSE),0)-100,0)</f>
        <v>11.940298507462686</v>
      </c>
      <c r="J51" s="61">
        <f>IFERROR(_xlfn.IFNA(VLOOKUP($B51,Dulieutho,ChiTiet!AD$2,FALSE),0)*100/_xlfn.IFNA(VLOOKUP($B51,SOP_Banh!$C:$X,22,FALSE),0)-100,0)</f>
        <v>-1.9607843137254832</v>
      </c>
      <c r="K51" s="61">
        <f>IFERROR(_xlfn.IFNA(VLOOKUP($B51,QuyDoi_DonVi!$C:$S,3,FALSE),0)*100/_xlfn.IFNA(VLOOKUP($B51,SOP_Banh!$C:$X,12,FALSE),0),0)-100</f>
        <v>-100</v>
      </c>
      <c r="L51" s="61">
        <f>IFERROR(_xlfn.IFNA(VLOOKUP($B51,QuyDoi_DonVi!$C:$S,5,FALSE),0)*100/(_xlfn.IFNA(VLOOKUP($B51,SOP_Banh!$C:$X,13,FALSE),0)*16)-100,0)</f>
        <v>-68.627450980392155</v>
      </c>
      <c r="M51" s="61">
        <f>IFERROR(_xlfn.IFNA(VLOOKUP($B51,QuyDoi_DonVi!$C:$S,4,FALSE),0)*100/_xlfn.IFNA(VLOOKUP($B51,SOP_Banh!$C:$X,14,FALSE),0),0)-100</f>
        <v>-1.9607843137254832</v>
      </c>
      <c r="N51" s="61">
        <f>IFERROR(_xlfn.IFNA(VLOOKUP($B51,Dulieutho,ChiTiet!L$2,FALSE),0)*100/_xlfn.IFNA(VLOOKUP($B51,SOP_Banh!$C:$X,15,FALSE),0),0)-100</f>
        <v>-29.104477611940297</v>
      </c>
      <c r="O51" s="61">
        <f>IFERROR(_xlfn.IFNA(VLOOKUP($B51,Dulieutho,ChiTiet!AJ$2,FALSE),0)*192*100/_xlfn.IFNA(VLOOKUP($B51,SOP_Banh!$C:$X,16,FALSE),0)-100,0)</f>
        <v>-24.324324324324323</v>
      </c>
      <c r="P51" s="61">
        <f>IFERROR(_xlfn.IFNA(VLOOKUP($B51,Dulieutho,ChiTiet!AG$2,FALSE),0)*100/_xlfn.IFNA(VLOOKUP($B51,SOP_Nuoc!$C:$H,3,FALSE),0)-100,0)</f>
        <v>-15.540540540540547</v>
      </c>
      <c r="Q51" s="63">
        <f>IFERROR(_xlfn.IFNA(VLOOKUP($B51,Dulieutho,ChiTiet!AH$2,FALSE),0)*3600*100/_xlfn.IFNA(VLOOKUP($B51,SOP_Banh!$C:$X,18,FALSE),0)-100,0)</f>
        <v>1.3513513513513544</v>
      </c>
      <c r="R51" s="61">
        <f>IFERROR(_xlfn.IFNA(VLOOKUP($B51,QuyDoi_DonVi!$C:$S,17,FALSE),0)*100/_xlfn.IFNA(VLOOKUP($B51,SOP_Banh!$C:$X,19,FALSE),0),0)-100</f>
        <v>-15.540540540540547</v>
      </c>
      <c r="S51" s="60">
        <f>_xlfn.IFNA(VLOOKUP($B51,SOP_Nuoc!$C:$W,19,FALSE),0)</f>
        <v>25</v>
      </c>
      <c r="T51" s="60">
        <f>IF(S51&lt;&gt;0,IFERROR(_xlfn.IFNA(VLOOKUP($B51,QuyDoi_DonVi!$C:$S,7,FALSE),0)*100/_xlfn.IFNA(VLOOKUP($B51,SOP_Nuoc!$C:$W,20,FALSE),0),0)-100,0)</f>
        <v>119.99999999999997</v>
      </c>
      <c r="U51" s="60">
        <f>_xlfn.IFNA(VLOOKUP($B51,QuyDoi_DonVi!$C:$S,10,FALSE),0)</f>
        <v>48</v>
      </c>
      <c r="V51" s="60">
        <f>_xlfn.IFNA(VLOOKUP($B51,QuyDoi_DonVi!$C:$S,8,FALSE),0)</f>
        <v>22</v>
      </c>
      <c r="W51" s="60">
        <f>_xlfn.IFNA(VLOOKUP($B51,Dulieutho,ChiTiet!S$2,FALSE),0)</f>
        <v>60</v>
      </c>
    </row>
    <row r="52" spans="1:23" ht="15.6">
      <c r="A52" s="10" t="s">
        <v>93</v>
      </c>
      <c r="B52" s="9" t="s">
        <v>192</v>
      </c>
      <c r="C52" s="11" t="s">
        <v>193</v>
      </c>
      <c r="D52" s="62">
        <f>IFERROR(SUM(_xlfn.IFNA(VLOOKUP($B52,Dulieutho,ChiTiet!J$2,FALSE),0),_xlfn.IFNA(VLOOKUP($B52,Dulieutho,ChiTiet!K$2,FALSE),0),_xlfn.IFNA(VLOOKUP($B52,Dulieutho,ChiTiet!AK$2,FALSE),0),_xlfn.IFNA(VLOOKUP($B52,Dulieutho,ChiTiet!AL$2,FALSE),0))*100/_xlfn.IFNA(VLOOKUP($B52,SOP_Banh!$C:$X,7,FALSE),0),0)-100</f>
        <v>4.1666666666666714</v>
      </c>
      <c r="E52" s="61">
        <f>IFERROR(_xlfn.IFNA(VLOOKUP($B52,QuyDoi_DonVi!$C:$S,12,FALSE),0)*100/_xlfn.IFNA(VLOOKUP($B52,SOP_Banh!$C:$X,8,FALSE),0),0)-100</f>
        <v>-5.2132701421800931</v>
      </c>
      <c r="F52" s="61">
        <f>IFERROR(_xlfn.IFNA(VLOOKUP($B52,QuyDoi_DonVi!$C:$S,13,FALSE),0)*100/_xlfn.IFNA(VLOOKUP($B52,SOP_Banh!$C:$X,9,FALSE),0),0)-100</f>
        <v>29.375951293759499</v>
      </c>
      <c r="G52" s="63">
        <f>IFERROR(_xlfn.IFNA(VLOOKUP($B52,Dulieutho,ChiTiet!Z$2,FALSE),0)*100/_xlfn.IFNA(VLOOKUP($B52,SOP_Banh!$C:$X,10,FALSE),0),0)-100</f>
        <v>-29.559748427672957</v>
      </c>
      <c r="H52" s="61">
        <f>IFERROR(SUM(_xlfn.IFNA(VLOOKUP($B52,Dulieutho,ChiTiet!AB$2,FALSE),0),_xlfn.IFNA(VLOOKUP($B52,Dulieutho,ChiTiet!AC$2,FALSE),0))*100/_xlfn.IFNA(VLOOKUP($B52,SOP_Banh!$C:$X,20,FALSE),0)-100,0)</f>
        <v>-37.065972222222221</v>
      </c>
      <c r="I52" s="61">
        <f>IFERROR(_xlfn.IFNA(VLOOKUP($B52,Dulieutho,ChiTiet!AF$2,FALSE),0)*100/_xlfn.IFNA(VLOOKUP($B52,SOP_Banh!$C:$X,21,FALSE),0)-100,0)</f>
        <v>-12.280701754385959</v>
      </c>
      <c r="J52" s="61">
        <f>IFERROR(_xlfn.IFNA(VLOOKUP($B52,Dulieutho,ChiTiet!AD$2,FALSE),0)*100/_xlfn.IFNA(VLOOKUP($B52,SOP_Banh!$C:$X,22,FALSE),0)-100,0)</f>
        <v>-7.4074074074074048</v>
      </c>
      <c r="K52" s="61">
        <f>IFERROR(_xlfn.IFNA(VLOOKUP($B52,QuyDoi_DonVi!$C:$S,3,FALSE),0)*100/_xlfn.IFNA(VLOOKUP($B52,SOP_Banh!$C:$X,12,FALSE),0),0)-100</f>
        <v>-38.271604938271608</v>
      </c>
      <c r="L52" s="61">
        <f>IFERROR(_xlfn.IFNA(VLOOKUP($B52,QuyDoi_DonVi!$C:$S,5,FALSE),0)*100/(_xlfn.IFNA(VLOOKUP($B52,SOP_Banh!$C:$X,13,FALSE),0)*16)-100,0)</f>
        <v>-50.617283950617285</v>
      </c>
      <c r="M52" s="61">
        <f>IFERROR(_xlfn.IFNA(VLOOKUP($B52,QuyDoi_DonVi!$C:$S,4,FALSE),0)*100/_xlfn.IFNA(VLOOKUP($B52,SOP_Banh!$C:$X,14,FALSE),0),0)-100</f>
        <v>-38.271604938271608</v>
      </c>
      <c r="N52" s="61">
        <f>IFERROR(_xlfn.IFNA(VLOOKUP($B52,Dulieutho,ChiTiet!L$2,FALSE),0)*100/_xlfn.IFNA(VLOOKUP($B52,SOP_Banh!$C:$X,15,FALSE),0),0)-100</f>
        <v>0.87719298245613686</v>
      </c>
      <c r="O52" s="61">
        <f>IFERROR(_xlfn.IFNA(VLOOKUP($B52,Dulieutho,ChiTiet!AJ$2,FALSE),0)*192*100/_xlfn.IFNA(VLOOKUP($B52,SOP_Banh!$C:$X,16,FALSE),0)-100,0)</f>
        <v>-32.773109243697476</v>
      </c>
      <c r="P52" s="61">
        <f>IFERROR(_xlfn.IFNA(VLOOKUP($B52,Dulieutho,ChiTiet!AG$2,FALSE),0)*100/_xlfn.IFNA(VLOOKUP($B52,SOP_Nuoc!$C:$H,3,FALSE),0)-100,0)</f>
        <v>5.0420168067226854</v>
      </c>
      <c r="Q52" s="63">
        <f>IFERROR(_xlfn.IFNA(VLOOKUP($B52,Dulieutho,ChiTiet!AH$2,FALSE),0)*3600*100/_xlfn.IFNA(VLOOKUP($B52,SOP_Banh!$C:$X,18,FALSE),0)-100,0)</f>
        <v>26.050420168067234</v>
      </c>
      <c r="R52" s="61">
        <f>IFERROR(_xlfn.IFNA(VLOOKUP($B52,QuyDoi_DonVi!$C:$S,17,FALSE),0)*100/_xlfn.IFNA(VLOOKUP($B52,SOP_Banh!$C:$X,19,FALSE),0),0)-100</f>
        <v>13.79551820728291</v>
      </c>
      <c r="S52" s="60">
        <f>_xlfn.IFNA(VLOOKUP($B52,SOP_Nuoc!$C:$W,19,FALSE),0)</f>
        <v>50</v>
      </c>
      <c r="T52" s="60">
        <f>IF(S52&lt;&gt;0,IFERROR(_xlfn.IFNA(VLOOKUP($B52,QuyDoi_DonVi!$C:$S,7,FALSE),0)*100/_xlfn.IFNA(VLOOKUP($B52,SOP_Nuoc!$C:$W,20,FALSE),0),0)-100,0)</f>
        <v>-34</v>
      </c>
      <c r="U52" s="60">
        <f>_xlfn.IFNA(VLOOKUP($B52,QuyDoi_DonVi!$C:$S,10,FALSE),0)</f>
        <v>36</v>
      </c>
      <c r="V52" s="60">
        <f>_xlfn.IFNA(VLOOKUP($B52,QuyDoi_DonVi!$C:$S,8,FALSE),0)</f>
        <v>15</v>
      </c>
      <c r="W52" s="60">
        <f>_xlfn.IFNA(VLOOKUP($B52,Dulieutho,ChiTiet!S$2,FALSE),0)</f>
        <v>60</v>
      </c>
    </row>
    <row r="53" spans="1:23" ht="15.6">
      <c r="A53" s="10" t="s">
        <v>93</v>
      </c>
      <c r="B53" s="9" t="s">
        <v>194</v>
      </c>
      <c r="C53" s="11" t="s">
        <v>195</v>
      </c>
      <c r="D53" s="62">
        <f>IFERROR(SUM(_xlfn.IFNA(VLOOKUP($B53,Dulieutho,ChiTiet!J$2,FALSE),0),_xlfn.IFNA(VLOOKUP($B53,Dulieutho,ChiTiet!K$2,FALSE),0),_xlfn.IFNA(VLOOKUP($B53,Dulieutho,ChiTiet!AK$2,FALSE),0),_xlfn.IFNA(VLOOKUP($B53,Dulieutho,ChiTiet!AL$2,FALSE),0))*100/_xlfn.IFNA(VLOOKUP($B53,SOP_Banh!$C:$X,7,FALSE),0),0)-100</f>
        <v>22.568093385214013</v>
      </c>
      <c r="E53" s="61">
        <f>IFERROR(_xlfn.IFNA(VLOOKUP($B53,QuyDoi_DonVi!$C:$S,12,FALSE),0)*100/_xlfn.IFNA(VLOOKUP($B53,SOP_Banh!$C:$X,8,FALSE),0),0)-100</f>
        <v>44.0576230492197</v>
      </c>
      <c r="F53" s="61">
        <f>IFERROR(_xlfn.IFNA(VLOOKUP($B53,QuyDoi_DonVi!$C:$S,13,FALSE),0)*100/_xlfn.IFNA(VLOOKUP($B53,SOP_Banh!$C:$X,9,FALSE),0),0)-100</f>
        <v>76.678445229681984</v>
      </c>
      <c r="G53" s="63">
        <f>IFERROR(_xlfn.IFNA(VLOOKUP($B53,Dulieutho,ChiTiet!Z$2,FALSE),0)*100/_xlfn.IFNA(VLOOKUP($B53,SOP_Banh!$C:$X,10,FALSE),0),0)-100</f>
        <v>23.07692307692308</v>
      </c>
      <c r="H53" s="61">
        <f>IFERROR(SUM(_xlfn.IFNA(VLOOKUP($B53,Dulieutho,ChiTiet!AB$2,FALSE),0),_xlfn.IFNA(VLOOKUP($B53,Dulieutho,ChiTiet!AC$2,FALSE),0))*100/_xlfn.IFNA(VLOOKUP($B53,SOP_Banh!$C:$X,20,FALSE),0)-100,0)</f>
        <v>-48.119325551232166</v>
      </c>
      <c r="I53" s="61">
        <f>IFERROR(_xlfn.IFNA(VLOOKUP($B53,Dulieutho,ChiTiet!AF$2,FALSE),0)*100/_xlfn.IFNA(VLOOKUP($B53,SOP_Banh!$C:$X,21,FALSE),0)-100,0)</f>
        <v>-19.354838709677423</v>
      </c>
      <c r="J53" s="61">
        <f>IFERROR(_xlfn.IFNA(VLOOKUP($B53,Dulieutho,ChiTiet!AD$2,FALSE),0)*100/_xlfn.IFNA(VLOOKUP($B53,SOP_Banh!$C:$X,22,FALSE),0)-100,0)</f>
        <v>28.205128205128204</v>
      </c>
      <c r="K53" s="61">
        <f>IFERROR(_xlfn.IFNA(VLOOKUP($B53,QuyDoi_DonVi!$C:$S,3,FALSE),0)*100/_xlfn.IFNA(VLOOKUP($B53,SOP_Banh!$C:$X,12,FALSE),0),0)-100</f>
        <v>-35.897435897435898</v>
      </c>
      <c r="L53" s="61">
        <f>IFERROR(_xlfn.IFNA(VLOOKUP($B53,QuyDoi_DonVi!$C:$S,5,FALSE),0)*100/(_xlfn.IFNA(VLOOKUP($B53,SOP_Banh!$C:$X,13,FALSE),0)*16)-100,0)</f>
        <v>-17.948717948717942</v>
      </c>
      <c r="M53" s="61">
        <f>IFERROR(_xlfn.IFNA(VLOOKUP($B53,QuyDoi_DonVi!$C:$S,4,FALSE),0)*100/_xlfn.IFNA(VLOOKUP($B53,SOP_Banh!$C:$X,14,FALSE),0),0)-100</f>
        <v>28.205128205128204</v>
      </c>
      <c r="N53" s="61">
        <f>IFERROR(_xlfn.IFNA(VLOOKUP($B53,Dulieutho,ChiTiet!L$2,FALSE),0)*100/_xlfn.IFNA(VLOOKUP($B53,SOP_Banh!$C:$X,15,FALSE),0),0)-100</f>
        <v>-3.2258064516128968</v>
      </c>
      <c r="O53" s="61">
        <f>IFERROR(_xlfn.IFNA(VLOOKUP($B53,Dulieutho,ChiTiet!AJ$2,FALSE),0)*192*100/_xlfn.IFNA(VLOOKUP($B53,SOP_Banh!$C:$X,16,FALSE),0)-100,0)</f>
        <v>-36.772777167947311</v>
      </c>
      <c r="P53" s="61">
        <f>IFERROR(_xlfn.IFNA(VLOOKUP($B53,Dulieutho,ChiTiet!AG$2,FALSE),0)*100/_xlfn.IFNA(VLOOKUP($B53,SOP_Nuoc!$C:$H,3,FALSE),0)-100,0)</f>
        <v>64.6542261251372</v>
      </c>
      <c r="Q53" s="63">
        <f>IFERROR(_xlfn.IFNA(VLOOKUP($B53,Dulieutho,ChiTiet!AH$2,FALSE),0)*3600*100/_xlfn.IFNA(VLOOKUP($B53,SOP_Banh!$C:$X,18,FALSE),0)-100,0)</f>
        <v>-100</v>
      </c>
      <c r="R53" s="61">
        <f>IFERROR(_xlfn.IFNA(VLOOKUP($B53,QuyDoi_DonVi!$C:$S,17,FALSE),0)*100/_xlfn.IFNA(VLOOKUP($B53,SOP_Banh!$C:$X,19,FALSE),0),0)-100</f>
        <v>64.6542261251372</v>
      </c>
      <c r="S53" s="60">
        <f>_xlfn.IFNA(VLOOKUP($B53,SOP_Nuoc!$C:$W,19,FALSE),0)</f>
        <v>0</v>
      </c>
      <c r="T53" s="60">
        <f>IF(S53&lt;&gt;0,IFERROR(_xlfn.IFNA(VLOOKUP($B53,QuyDoi_DonVi!$C:$S,7,FALSE),0)*100/_xlfn.IFNA(VLOOKUP($B53,SOP_Nuoc!$C:$W,20,FALSE),0),0)-100,0)</f>
        <v>0</v>
      </c>
      <c r="U53" s="60">
        <f>_xlfn.IFNA(VLOOKUP($B53,QuyDoi_DonVi!$C:$S,10,FALSE),0)</f>
        <v>0</v>
      </c>
      <c r="V53" s="60">
        <f>_xlfn.IFNA(VLOOKUP($B53,QuyDoi_DonVi!$C:$S,8,FALSE),0)</f>
        <v>12.5</v>
      </c>
      <c r="W53" s="60">
        <f>_xlfn.IFNA(VLOOKUP($B53,Dulieutho,ChiTiet!S$2,FALSE),0)</f>
        <v>48</v>
      </c>
    </row>
    <row r="54" spans="1:23" ht="15.6">
      <c r="A54" s="10" t="s">
        <v>93</v>
      </c>
      <c r="B54" s="9" t="s">
        <v>196</v>
      </c>
      <c r="C54" s="11" t="s">
        <v>197</v>
      </c>
      <c r="D54" s="62">
        <f>IFERROR(SUM(_xlfn.IFNA(VLOOKUP($B54,Dulieutho,ChiTiet!J$2,FALSE),0),_xlfn.IFNA(VLOOKUP($B54,Dulieutho,ChiTiet!K$2,FALSE),0),_xlfn.IFNA(VLOOKUP($B54,Dulieutho,ChiTiet!AK$2,FALSE),0),_xlfn.IFNA(VLOOKUP($B54,Dulieutho,ChiTiet!AL$2,FALSE),0))*100/_xlfn.IFNA(VLOOKUP($B54,SOP_Banh!$C:$X,7,FALSE),0),0)-100</f>
        <v>-30.635838150289018</v>
      </c>
      <c r="E54" s="61">
        <f>IFERROR(_xlfn.IFNA(VLOOKUP($B54,QuyDoi_DonVi!$C:$S,12,FALSE),0)*100/_xlfn.IFNA(VLOOKUP($B54,SOP_Banh!$C:$X,8,FALSE),0),0)-100</f>
        <v>-48.717948717948715</v>
      </c>
      <c r="F54" s="61">
        <f>IFERROR(_xlfn.IFNA(VLOOKUP($B54,QuyDoi_DonVi!$C:$S,13,FALSE),0)*100/_xlfn.IFNA(VLOOKUP($B54,SOP_Banh!$C:$X,9,FALSE),0),0)-100</f>
        <v>15.979381443298962</v>
      </c>
      <c r="G54" s="63">
        <f>IFERROR(_xlfn.IFNA(VLOOKUP($B54,Dulieutho,ChiTiet!Z$2,FALSE),0)*100/_xlfn.IFNA(VLOOKUP($B54,SOP_Banh!$C:$X,10,FALSE),0),0)-100</f>
        <v>65.517241379310349</v>
      </c>
      <c r="H54" s="61">
        <f>IFERROR(SUM(_xlfn.IFNA(VLOOKUP($B54,Dulieutho,ChiTiet!AB$2,FALSE),0),_xlfn.IFNA(VLOOKUP($B54,Dulieutho,ChiTiet!AC$2,FALSE),0))*100/_xlfn.IFNA(VLOOKUP($B54,SOP_Banh!$C:$X,20,FALSE),0)-100,0)</f>
        <v>-56.647398843930638</v>
      </c>
      <c r="I54" s="61">
        <f>IFERROR(_xlfn.IFNA(VLOOKUP($B54,Dulieutho,ChiTiet!AF$2,FALSE),0)*100/_xlfn.IFNA(VLOOKUP($B54,SOP_Banh!$C:$X,21,FALSE),0)-100,0)</f>
        <v>13.63636363636364</v>
      </c>
      <c r="J54" s="61">
        <f>IFERROR(_xlfn.IFNA(VLOOKUP($B54,Dulieutho,ChiTiet!AD$2,FALSE),0)*100/_xlfn.IFNA(VLOOKUP($B54,SOP_Banh!$C:$X,22,FALSE),0)-100,0)</f>
        <v>-100</v>
      </c>
      <c r="K54" s="61">
        <f>IFERROR(_xlfn.IFNA(VLOOKUP($B54,QuyDoi_DonVi!$C:$S,3,FALSE),0)*100/_xlfn.IFNA(VLOOKUP($B54,SOP_Banh!$C:$X,12,FALSE),0),0)-100</f>
        <v>-100</v>
      </c>
      <c r="L54" s="61">
        <f>IFERROR(_xlfn.IFNA(VLOOKUP($B54,QuyDoi_DonVi!$C:$S,5,FALSE),0)*100/(_xlfn.IFNA(VLOOKUP($B54,SOP_Banh!$C:$X,13,FALSE),0)*16)-100,0)</f>
        <v>-100</v>
      </c>
      <c r="M54" s="61">
        <f>IFERROR(_xlfn.IFNA(VLOOKUP($B54,QuyDoi_DonVi!$C:$S,4,FALSE),0)*100/_xlfn.IFNA(VLOOKUP($B54,SOP_Banh!$C:$X,14,FALSE),0),0)-100</f>
        <v>-100</v>
      </c>
      <c r="N54" s="61">
        <f>IFERROR(_xlfn.IFNA(VLOOKUP($B54,Dulieutho,ChiTiet!L$2,FALSE),0)*100/_xlfn.IFNA(VLOOKUP($B54,SOP_Banh!$C:$X,15,FALSE),0),0)-100</f>
        <v>-37.5</v>
      </c>
      <c r="O54" s="61">
        <f>IFERROR(_xlfn.IFNA(VLOOKUP($B54,Dulieutho,ChiTiet!AJ$2,FALSE),0)*192*100/_xlfn.IFNA(VLOOKUP($B54,SOP_Banh!$C:$X,16,FALSE),0)-100,0)</f>
        <v>-44.444444444444443</v>
      </c>
      <c r="P54" s="61">
        <f>IFERROR(_xlfn.IFNA(VLOOKUP($B54,Dulieutho,ChiTiet!AG$2,FALSE),0)*100/_xlfn.IFNA(VLOOKUP($B54,SOP_Nuoc!$C:$H,3,FALSE),0)-100,0)</f>
        <v>15.740740740740748</v>
      </c>
      <c r="Q54" s="63">
        <f>IFERROR(_xlfn.IFNA(VLOOKUP($B54,Dulieutho,ChiTiet!AH$2,FALSE),0)*3600*100/_xlfn.IFNA(VLOOKUP($B54,SOP_Banh!$C:$X,18,FALSE),0)-100,0)</f>
        <v>108.33333333333334</v>
      </c>
      <c r="R54" s="61">
        <f>IFERROR(_xlfn.IFNA(VLOOKUP($B54,QuyDoi_DonVi!$C:$S,17,FALSE),0)*100/_xlfn.IFNA(VLOOKUP($B54,SOP_Banh!$C:$X,19,FALSE),0),0)-100</f>
        <v>15.740740740740748</v>
      </c>
      <c r="S54" s="60">
        <f>_xlfn.IFNA(VLOOKUP($B54,SOP_Nuoc!$C:$W,19,FALSE),0)</f>
        <v>0</v>
      </c>
      <c r="T54" s="60">
        <f>IF(S54&lt;&gt;0,IFERROR(_xlfn.IFNA(VLOOKUP($B54,QuyDoi_DonVi!$C:$S,7,FALSE),0)*100/_xlfn.IFNA(VLOOKUP($B54,SOP_Nuoc!$C:$W,20,FALSE),0),0)-100,0)</f>
        <v>0</v>
      </c>
      <c r="U54" s="60">
        <f>_xlfn.IFNA(VLOOKUP($B54,QuyDoi_DonVi!$C:$S,10,FALSE),0)</f>
        <v>0</v>
      </c>
      <c r="V54" s="60">
        <f>_xlfn.IFNA(VLOOKUP($B54,QuyDoi_DonVi!$C:$S,8,FALSE),0)</f>
        <v>2</v>
      </c>
      <c r="W54" s="60">
        <f>_xlfn.IFNA(VLOOKUP($B54,Dulieutho,ChiTiet!S$2,FALSE),0)</f>
        <v>48</v>
      </c>
    </row>
    <row r="55" spans="1:23" ht="15.6">
      <c r="A55" s="10" t="s">
        <v>93</v>
      </c>
      <c r="B55" s="9" t="s">
        <v>198</v>
      </c>
      <c r="C55" s="11" t="s">
        <v>199</v>
      </c>
      <c r="D55" s="62">
        <f>IFERROR(SUM(_xlfn.IFNA(VLOOKUP($B55,Dulieutho,ChiTiet!J$2,FALSE),0),_xlfn.IFNA(VLOOKUP($B55,Dulieutho,ChiTiet!K$2,FALSE),0),_xlfn.IFNA(VLOOKUP($B55,Dulieutho,ChiTiet!AK$2,FALSE),0),_xlfn.IFNA(VLOOKUP($B55,Dulieutho,ChiTiet!AL$2,FALSE),0))*100/_xlfn.IFNA(VLOOKUP($B55,SOP_Banh!$C:$X,7,FALSE),0),0)-100</f>
        <v>64.179104477611929</v>
      </c>
      <c r="E55" s="61">
        <f>IFERROR(_xlfn.IFNA(VLOOKUP($B55,QuyDoi_DonVi!$C:$S,12,FALSE),0)*100/_xlfn.IFNA(VLOOKUP($B55,SOP_Banh!$C:$X,8,FALSE),0),0)-100</f>
        <v>40.845070422535201</v>
      </c>
      <c r="F55" s="61">
        <f>IFERROR(_xlfn.IFNA(VLOOKUP($B55,QuyDoi_DonVi!$C:$S,13,FALSE),0)*100/_xlfn.IFNA(VLOOKUP($B55,SOP_Banh!$C:$X,9,FALSE),0),0)-100</f>
        <v>14.155251141552512</v>
      </c>
      <c r="G55" s="63">
        <f>IFERROR(_xlfn.IFNA(VLOOKUP($B55,Dulieutho,ChiTiet!Z$2,FALSE),0)*100/_xlfn.IFNA(VLOOKUP($B55,SOP_Banh!$C:$X,10,FALSE),0),0)-100</f>
        <v>-38.46153846153846</v>
      </c>
      <c r="H55" s="61">
        <f>IFERROR(SUM(_xlfn.IFNA(VLOOKUP($B55,Dulieutho,ChiTiet!AB$2,FALSE),0),_xlfn.IFNA(VLOOKUP($B55,Dulieutho,ChiTiet!AC$2,FALSE),0))*100/_xlfn.IFNA(VLOOKUP($B55,SOP_Banh!$C:$X,20,FALSE),0)-100,0)</f>
        <v>-50.24875621890547</v>
      </c>
      <c r="I55" s="61">
        <f>IFERROR(_xlfn.IFNA(VLOOKUP($B55,Dulieutho,ChiTiet!AF$2,FALSE),0)*100/_xlfn.IFNA(VLOOKUP($B55,SOP_Banh!$C:$X,21,FALSE),0)-100,0)</f>
        <v>-100</v>
      </c>
      <c r="J55" s="61">
        <f>IFERROR(_xlfn.IFNA(VLOOKUP($B55,Dulieutho,ChiTiet!AD$2,FALSE),0)*100/_xlfn.IFNA(VLOOKUP($B55,SOP_Banh!$C:$X,22,FALSE),0)-100,0)</f>
        <v>-100</v>
      </c>
      <c r="K55" s="61">
        <f>IFERROR(_xlfn.IFNA(VLOOKUP($B55,QuyDoi_DonVi!$C:$S,3,FALSE),0)*100/_xlfn.IFNA(VLOOKUP($B55,SOP_Banh!$C:$X,12,FALSE),0),0)-100</f>
        <v>38.888888888888886</v>
      </c>
      <c r="L55" s="61">
        <f>IFERROR(_xlfn.IFNA(VLOOKUP($B55,QuyDoi_DonVi!$C:$S,5,FALSE),0)*100/(_xlfn.IFNA(VLOOKUP($B55,SOP_Banh!$C:$X,13,FALSE),0)*16)-100,0)</f>
        <v>-11.111111111111114</v>
      </c>
      <c r="M55" s="61">
        <f>IFERROR(_xlfn.IFNA(VLOOKUP($B55,QuyDoi_DonVi!$C:$S,4,FALSE),0)*100/_xlfn.IFNA(VLOOKUP($B55,SOP_Banh!$C:$X,14,FALSE),0),0)-100</f>
        <v>177.77777777777777</v>
      </c>
      <c r="N55" s="61">
        <f>IFERROR(_xlfn.IFNA(VLOOKUP($B55,Dulieutho,ChiTiet!L$2,FALSE),0)*100/_xlfn.IFNA(VLOOKUP($B55,SOP_Banh!$C:$X,15,FALSE),0),0)-100</f>
        <v>4.1666666666666714</v>
      </c>
      <c r="O55" s="61">
        <f>IFERROR(_xlfn.IFNA(VLOOKUP($B55,Dulieutho,ChiTiet!AJ$2,FALSE),0)*192*100/_xlfn.IFNA(VLOOKUP($B55,SOP_Banh!$C:$X,16,FALSE),0)-100,0)</f>
        <v>-37.662337662337663</v>
      </c>
      <c r="P55" s="61">
        <f>IFERROR(_xlfn.IFNA(VLOOKUP($B55,Dulieutho,ChiTiet!AG$2,FALSE),0)*100/_xlfn.IFNA(VLOOKUP($B55,SOP_Nuoc!$C:$H,3,FALSE),0)-100,0)</f>
        <v>-100</v>
      </c>
      <c r="Q55" s="63">
        <f>IFERROR(_xlfn.IFNA(VLOOKUP($B55,Dulieutho,ChiTiet!AH$2,FALSE),0)*3600*100/_xlfn.IFNA(VLOOKUP($B55,SOP_Banh!$C:$X,18,FALSE),0)-100,0)</f>
        <v>-100</v>
      </c>
      <c r="R55" s="61">
        <f>IFERROR(_xlfn.IFNA(VLOOKUP($B55,QuyDoi_DonVi!$C:$S,17,FALSE),0)*100/_xlfn.IFNA(VLOOKUP($B55,SOP_Banh!$C:$X,19,FALSE),0),0)-100</f>
        <v>-100</v>
      </c>
      <c r="S55" s="60">
        <f>_xlfn.IFNA(VLOOKUP($B55,SOP_Nuoc!$C:$W,19,FALSE),0)</f>
        <v>25</v>
      </c>
      <c r="T55" s="60">
        <f>IF(S55&lt;&gt;0,IFERROR(_xlfn.IFNA(VLOOKUP($B55,QuyDoi_DonVi!$C:$S,7,FALSE),0)*100/_xlfn.IFNA(VLOOKUP($B55,SOP_Nuoc!$C:$W,20,FALSE),0),0)-100,0)</f>
        <v>-78</v>
      </c>
      <c r="U55" s="60">
        <f>_xlfn.IFNA(VLOOKUP($B55,QuyDoi_DonVi!$C:$S,10,FALSE),0)</f>
        <v>12</v>
      </c>
      <c r="V55" s="60">
        <f>_xlfn.IFNA(VLOOKUP($B55,QuyDoi_DonVi!$C:$S,8,FALSE),0)</f>
        <v>1</v>
      </c>
      <c r="W55" s="60">
        <f>_xlfn.IFNA(VLOOKUP($B55,Dulieutho,ChiTiet!S$2,FALSE),0)</f>
        <v>48</v>
      </c>
    </row>
    <row r="56" spans="1:23" ht="15.6">
      <c r="A56" s="10" t="s">
        <v>93</v>
      </c>
      <c r="B56" s="9" t="s">
        <v>200</v>
      </c>
      <c r="C56" s="11" t="s">
        <v>201</v>
      </c>
      <c r="D56" s="62">
        <f>IFERROR(SUM(_xlfn.IFNA(VLOOKUP($B56,Dulieutho,ChiTiet!J$2,FALSE),0),_xlfn.IFNA(VLOOKUP($B56,Dulieutho,ChiTiet!K$2,FALSE),0),_xlfn.IFNA(VLOOKUP($B56,Dulieutho,ChiTiet!AK$2,FALSE),0),_xlfn.IFNA(VLOOKUP($B56,Dulieutho,ChiTiet!AL$2,FALSE),0))*100/_xlfn.IFNA(VLOOKUP($B56,SOP_Banh!$C:$X,7,FALSE),0),0)-100</f>
        <v>0.70671378091873294</v>
      </c>
      <c r="E56" s="61">
        <f>IFERROR(_xlfn.IFNA(VLOOKUP($B56,QuyDoi_DonVi!$C:$S,12,FALSE),0)*100/_xlfn.IFNA(VLOOKUP($B56,SOP_Banh!$C:$X,8,FALSE),0),0)-100</f>
        <v>32.89036544850498</v>
      </c>
      <c r="F56" s="61">
        <f>IFERROR(_xlfn.IFNA(VLOOKUP($B56,QuyDoi_DonVi!$C:$S,13,FALSE),0)*100/_xlfn.IFNA(VLOOKUP($B56,SOP_Banh!$C:$X,9,FALSE),0),0)-100</f>
        <v>17.449664429530202</v>
      </c>
      <c r="G56" s="63">
        <f>IFERROR(_xlfn.IFNA(VLOOKUP($B56,Dulieutho,ChiTiet!Z$2,FALSE),0)*100/_xlfn.IFNA(VLOOKUP($B56,SOP_Banh!$C:$X,10,FALSE),0),0)-100</f>
        <v>-8.0459770114942586</v>
      </c>
      <c r="H56" s="61">
        <f>IFERROR(SUM(_xlfn.IFNA(VLOOKUP($B56,Dulieutho,ChiTiet!AB$2,FALSE),0),_xlfn.IFNA(VLOOKUP($B56,Dulieutho,ChiTiet!AC$2,FALSE),0))*100/_xlfn.IFNA(VLOOKUP($B56,SOP_Banh!$C:$X,20,FALSE),0)-100,0)</f>
        <v>-24.911660777385165</v>
      </c>
      <c r="I56" s="61">
        <f>IFERROR(_xlfn.IFNA(VLOOKUP($B56,Dulieutho,ChiTiet!AF$2,FALSE),0)*100/_xlfn.IFNA(VLOOKUP($B56,SOP_Banh!$C:$X,21,FALSE),0)-100,0)</f>
        <v>38.888888888888886</v>
      </c>
      <c r="J56" s="61">
        <f>IFERROR(_xlfn.IFNA(VLOOKUP($B56,Dulieutho,ChiTiet!AD$2,FALSE),0)*100/_xlfn.IFNA(VLOOKUP($B56,SOP_Banh!$C:$X,22,FALSE),0)-100,0)</f>
        <v>-100</v>
      </c>
      <c r="K56" s="61">
        <f>IFERROR(_xlfn.IFNA(VLOOKUP($B56,QuyDoi_DonVi!$C:$S,3,FALSE),0)*100/_xlfn.IFNA(VLOOKUP($B56,SOP_Banh!$C:$X,12,FALSE),0),0)-100</f>
        <v>-100</v>
      </c>
      <c r="L56" s="61">
        <f>IFERROR(_xlfn.IFNA(VLOOKUP($B56,QuyDoi_DonVi!$C:$S,5,FALSE),0)*100/(_xlfn.IFNA(VLOOKUP($B56,SOP_Banh!$C:$X,13,FALSE),0)*16)-100,0)</f>
        <v>-100</v>
      </c>
      <c r="M56" s="61">
        <f>IFERROR(_xlfn.IFNA(VLOOKUP($B56,QuyDoi_DonVi!$C:$S,4,FALSE),0)*100/_xlfn.IFNA(VLOOKUP($B56,SOP_Banh!$C:$X,14,FALSE),0),0)-100</f>
        <v>233.33333333333331</v>
      </c>
      <c r="N56" s="61">
        <f>IFERROR(_xlfn.IFNA(VLOOKUP($B56,Dulieutho,ChiTiet!L$2,FALSE),0)*100/_xlfn.IFNA(VLOOKUP($B56,SOP_Banh!$C:$X,15,FALSE),0),0)-100</f>
        <v>-2.7777777777777715</v>
      </c>
      <c r="O56" s="61">
        <f>IFERROR(_xlfn.IFNA(VLOOKUP($B56,Dulieutho,ChiTiet!AJ$2,FALSE),0)*192*100/_xlfn.IFNA(VLOOKUP($B56,SOP_Banh!$C:$X,16,FALSE),0)-100,0)</f>
        <v>-8.8607594936708836</v>
      </c>
      <c r="P56" s="61">
        <f>IFERROR(_xlfn.IFNA(VLOOKUP($B56,Dulieutho,ChiTiet!AG$2,FALSE),0)*100/_xlfn.IFNA(VLOOKUP($B56,SOP_Nuoc!$C:$H,3,FALSE),0)-100,0)</f>
        <v>58.227848101265835</v>
      </c>
      <c r="Q56" s="63">
        <f>IFERROR(_xlfn.IFNA(VLOOKUP($B56,Dulieutho,ChiTiet!AH$2,FALSE),0)*3600*100/_xlfn.IFNA(VLOOKUP($B56,SOP_Banh!$C:$X,18,FALSE),0)-100,0)</f>
        <v>184.81012658227849</v>
      </c>
      <c r="R56" s="61">
        <f>IFERROR(_xlfn.IFNA(VLOOKUP($B56,QuyDoi_DonVi!$C:$S,17,FALSE),0)*100/_xlfn.IFNA(VLOOKUP($B56,SOP_Banh!$C:$X,19,FALSE),0),0)-100</f>
        <v>58.227848101265835</v>
      </c>
      <c r="S56" s="60">
        <f>_xlfn.IFNA(VLOOKUP($B56,SOP_Nuoc!$C:$W,19,FALSE),0)</f>
        <v>0</v>
      </c>
      <c r="T56" s="60">
        <f>IF(S56&lt;&gt;0,IFERROR(_xlfn.IFNA(VLOOKUP($B56,QuyDoi_DonVi!$C:$S,7,FALSE),0)*100/_xlfn.IFNA(VLOOKUP($B56,SOP_Nuoc!$C:$W,20,FALSE),0),0)-100,0)</f>
        <v>0</v>
      </c>
      <c r="U56" s="60">
        <f>_xlfn.IFNA(VLOOKUP($B56,QuyDoi_DonVi!$C:$S,10,FALSE),0)</f>
        <v>24</v>
      </c>
      <c r="V56" s="60">
        <f>_xlfn.IFNA(VLOOKUP($B56,QuyDoi_DonVi!$C:$S,8,FALSE),0)</f>
        <v>7</v>
      </c>
      <c r="W56" s="60">
        <f>_xlfn.IFNA(VLOOKUP($B56,Dulieutho,ChiTiet!S$2,FALSE),0)</f>
        <v>36</v>
      </c>
    </row>
    <row r="57" spans="1:23" ht="15.6">
      <c r="A57" s="10" t="s">
        <v>93</v>
      </c>
      <c r="B57" s="9" t="s">
        <v>202</v>
      </c>
      <c r="C57" s="11" t="s">
        <v>203</v>
      </c>
      <c r="D57" s="62">
        <f>IFERROR(SUM(_xlfn.IFNA(VLOOKUP($B57,Dulieutho,ChiTiet!J$2,FALSE),0),_xlfn.IFNA(VLOOKUP($B57,Dulieutho,ChiTiet!K$2,FALSE),0),_xlfn.IFNA(VLOOKUP($B57,Dulieutho,ChiTiet!AK$2,FALSE),0),_xlfn.IFNA(VLOOKUP($B57,Dulieutho,ChiTiet!AL$2,FALSE),0))*100/_xlfn.IFNA(VLOOKUP($B57,SOP_Banh!$C:$X,7,FALSE),0),0)-100</f>
        <v>-9.0909090909090935</v>
      </c>
      <c r="E57" s="61">
        <f>IFERROR(_xlfn.IFNA(VLOOKUP($B57,QuyDoi_DonVi!$C:$S,12,FALSE),0)*100/_xlfn.IFNA(VLOOKUP($B57,SOP_Banh!$C:$X,8,FALSE),0),0)-100</f>
        <v>-13.569576490924803</v>
      </c>
      <c r="F57" s="61">
        <f>IFERROR(_xlfn.IFNA(VLOOKUP($B57,QuyDoi_DonVi!$C:$S,13,FALSE),0)*100/_xlfn.IFNA(VLOOKUP($B57,SOP_Banh!$C:$X,9,FALSE),0),0)-100</f>
        <v>-11.111111111111114</v>
      </c>
      <c r="G57" s="63">
        <f>IFERROR(_xlfn.IFNA(VLOOKUP($B57,Dulieutho,ChiTiet!Z$2,FALSE),0)*100/_xlfn.IFNA(VLOOKUP($B57,SOP_Banh!$C:$X,10,FALSE),0),0)-100</f>
        <v>67.320261437908499</v>
      </c>
      <c r="H57" s="61">
        <f>IFERROR(SUM(_xlfn.IFNA(VLOOKUP($B57,Dulieutho,ChiTiet!AB$2,FALSE),0),_xlfn.IFNA(VLOOKUP($B57,Dulieutho,ChiTiet!AC$2,FALSE),0))*100/_xlfn.IFNA(VLOOKUP($B57,SOP_Banh!$C:$X,20,FALSE),0)-100,0)</f>
        <v>-28.833792470156112</v>
      </c>
      <c r="I57" s="61">
        <f>IFERROR(_xlfn.IFNA(VLOOKUP($B57,Dulieutho,ChiTiet!AF$2,FALSE),0)*100/_xlfn.IFNA(VLOOKUP($B57,SOP_Banh!$C:$X,21,FALSE),0)-100,0)</f>
        <v>-26.470588235294116</v>
      </c>
      <c r="J57" s="61">
        <f>IFERROR(_xlfn.IFNA(VLOOKUP($B57,Dulieutho,ChiTiet!AD$2,FALSE),0)*100/_xlfn.IFNA(VLOOKUP($B57,SOP_Banh!$C:$X,22,FALSE),0)-100,0)</f>
        <v>-100</v>
      </c>
      <c r="K57" s="61">
        <f>IFERROR(_xlfn.IFNA(VLOOKUP($B57,QuyDoi_DonVi!$C:$S,3,FALSE),0)*100/_xlfn.IFNA(VLOOKUP($B57,SOP_Banh!$C:$X,12,FALSE),0),0)-100</f>
        <v>38.888888888888886</v>
      </c>
      <c r="L57" s="61">
        <f>IFERROR(_xlfn.IFNA(VLOOKUP($B57,QuyDoi_DonVi!$C:$S,5,FALSE),0)*100/(_xlfn.IFNA(VLOOKUP($B57,SOP_Banh!$C:$X,13,FALSE),0)*16)-100,0)</f>
        <v>-11.111111111111114</v>
      </c>
      <c r="M57" s="61">
        <f>IFERROR(_xlfn.IFNA(VLOOKUP($B57,QuyDoi_DonVi!$C:$S,4,FALSE),0)*100/_xlfn.IFNA(VLOOKUP($B57,SOP_Banh!$C:$X,14,FALSE),0),0)-100</f>
        <v>177.77777777777777</v>
      </c>
      <c r="N57" s="61">
        <f>IFERROR(_xlfn.IFNA(VLOOKUP($B57,Dulieutho,ChiTiet!L$2,FALSE),0)*100/_xlfn.IFNA(VLOOKUP($B57,SOP_Banh!$C:$X,15,FALSE),0),0)-100</f>
        <v>83.823529411764696</v>
      </c>
      <c r="O57" s="61">
        <f>IFERROR(_xlfn.IFNA(VLOOKUP($B57,Dulieutho,ChiTiet!AJ$2,FALSE),0)*192*100/_xlfn.IFNA(VLOOKUP($B57,SOP_Banh!$C:$X,16,FALSE),0)-100,0)</f>
        <v>-51.71835708298407</v>
      </c>
      <c r="P57" s="61">
        <f>IFERROR(_xlfn.IFNA(VLOOKUP($B57,Dulieutho,ChiTiet!AG$2,FALSE),0)*100/_xlfn.IFNA(VLOOKUP($B57,SOP_Nuoc!$C:$H,3,FALSE),0)-100,0)</f>
        <v>-16.177703269069568</v>
      </c>
      <c r="Q57" s="63">
        <f>IFERROR(_xlfn.IFNA(VLOOKUP($B57,Dulieutho,ChiTiet!AH$2,FALSE),0)*3600*100/_xlfn.IFNA(VLOOKUP($B57,SOP_Banh!$C:$X,18,FALSE),0)-100,0)</f>
        <v>50.880134115674764</v>
      </c>
      <c r="R57" s="61">
        <f>IFERROR(_xlfn.IFNA(VLOOKUP($B57,QuyDoi_DonVi!$C:$S,17,FALSE),0)*100/_xlfn.IFNA(VLOOKUP($B57,SOP_Banh!$C:$X,19,FALSE),0),0)-100</f>
        <v>-16.177703269069568</v>
      </c>
      <c r="S57" s="60">
        <f>_xlfn.IFNA(VLOOKUP($B57,SOP_Nuoc!$C:$W,19,FALSE),0)</f>
        <v>0</v>
      </c>
      <c r="T57" s="60">
        <f>IF(S57&lt;&gt;0,IFERROR(_xlfn.IFNA(VLOOKUP($B57,QuyDoi_DonVi!$C:$S,7,FALSE),0)*100/_xlfn.IFNA(VLOOKUP($B57,SOP_Nuoc!$C:$W,20,FALSE),0),0)-100,0)</f>
        <v>0</v>
      </c>
      <c r="U57" s="60">
        <f>_xlfn.IFNA(VLOOKUP($B57,QuyDoi_DonVi!$C:$S,10,FALSE),0)</f>
        <v>24</v>
      </c>
      <c r="V57" s="60">
        <f>_xlfn.IFNA(VLOOKUP($B57,QuyDoi_DonVi!$C:$S,8,FALSE),0)</f>
        <v>8</v>
      </c>
      <c r="W57" s="60">
        <f>_xlfn.IFNA(VLOOKUP($B57,Dulieutho,ChiTiet!S$2,FALSE),0)</f>
        <v>72</v>
      </c>
    </row>
    <row r="58" spans="1:23" ht="15.6">
      <c r="A58" s="10" t="s">
        <v>93</v>
      </c>
      <c r="B58" s="9" t="s">
        <v>204</v>
      </c>
      <c r="C58" s="11" t="s">
        <v>205</v>
      </c>
      <c r="D58" s="62">
        <f>IFERROR(SUM(_xlfn.IFNA(VLOOKUP($B58,Dulieutho,ChiTiet!J$2,FALSE),0),_xlfn.IFNA(VLOOKUP($B58,Dulieutho,ChiTiet!K$2,FALSE),0),_xlfn.IFNA(VLOOKUP($B58,Dulieutho,ChiTiet!AK$2,FALSE),0),_xlfn.IFNA(VLOOKUP($B58,Dulieutho,ChiTiet!AL$2,FALSE),0))*100/_xlfn.IFNA(VLOOKUP($B58,SOP_Banh!$C:$X,7,FALSE),0),0)-100</f>
        <v>1.6260162601626007</v>
      </c>
      <c r="E58" s="61">
        <f>IFERROR(_xlfn.IFNA(VLOOKUP($B58,QuyDoi_DonVi!$C:$S,12,FALSE),0)*100/_xlfn.IFNA(VLOOKUP($B58,SOP_Banh!$C:$X,8,FALSE),0),0)-100</f>
        <v>-3.6144578313252964</v>
      </c>
      <c r="F58" s="61">
        <f>IFERROR(_xlfn.IFNA(VLOOKUP($B58,QuyDoi_DonVi!$C:$S,13,FALSE),0)*100/_xlfn.IFNA(VLOOKUP($B58,SOP_Banh!$C:$X,9,FALSE),0),0)-100</f>
        <v>13.63636363636364</v>
      </c>
      <c r="G58" s="63">
        <f>IFERROR(_xlfn.IFNA(VLOOKUP($B58,Dulieutho,ChiTiet!Z$2,FALSE),0)*100/_xlfn.IFNA(VLOOKUP($B58,SOP_Banh!$C:$X,10,FALSE),0),0)-100</f>
        <v>66.666666666666657</v>
      </c>
      <c r="H58" s="61">
        <f>IFERROR(SUM(_xlfn.IFNA(VLOOKUP($B58,Dulieutho,ChiTiet!AB$2,FALSE),0),_xlfn.IFNA(VLOOKUP($B58,Dulieutho,ChiTiet!AC$2,FALSE),0))*100/_xlfn.IFNA(VLOOKUP($B58,SOP_Banh!$C:$X,20,FALSE),0)-100,0)</f>
        <v>-32.249322493224938</v>
      </c>
      <c r="I58" s="61">
        <f>IFERROR(_xlfn.IFNA(VLOOKUP($B58,Dulieutho,ChiTiet!AF$2,FALSE),0)*100/_xlfn.IFNA(VLOOKUP($B58,SOP_Banh!$C:$X,21,FALSE),0)-100,0)</f>
        <v>8.6956521739130466</v>
      </c>
      <c r="J58" s="61">
        <f>IFERROR(_xlfn.IFNA(VLOOKUP($B58,Dulieutho,ChiTiet!AD$2,FALSE),0)*100/_xlfn.IFNA(VLOOKUP($B58,SOP_Banh!$C:$X,22,FALSE),0)-100,0)</f>
        <v>-7.4074074074074048</v>
      </c>
      <c r="K58" s="61">
        <f>IFERROR(_xlfn.IFNA(VLOOKUP($B58,QuyDoi_DonVi!$C:$S,3,FALSE),0)*100/_xlfn.IFNA(VLOOKUP($B58,SOP_Banh!$C:$X,12,FALSE),0),0)-100</f>
        <v>-100</v>
      </c>
      <c r="L58" s="61">
        <f>IFERROR(_xlfn.IFNA(VLOOKUP($B58,QuyDoi_DonVi!$C:$S,5,FALSE),0)*100/(_xlfn.IFNA(VLOOKUP($B58,SOP_Banh!$C:$X,13,FALSE),0)*16)-100,0)</f>
        <v>-11.111111111111114</v>
      </c>
      <c r="M58" s="61">
        <f>IFERROR(_xlfn.IFNA(VLOOKUP($B58,QuyDoi_DonVi!$C:$S,4,FALSE),0)*100/_xlfn.IFNA(VLOOKUP($B58,SOP_Banh!$C:$X,14,FALSE),0),0)-100</f>
        <v>85.18518518518519</v>
      </c>
      <c r="N58" s="61">
        <f>IFERROR(_xlfn.IFNA(VLOOKUP($B58,Dulieutho,ChiTiet!L$2,FALSE),0)*100/_xlfn.IFNA(VLOOKUP($B58,SOP_Banh!$C:$X,15,FALSE),0),0)-100</f>
        <v>8.6956521739130466</v>
      </c>
      <c r="O58" s="61">
        <f>IFERROR(_xlfn.IFNA(VLOOKUP($B58,Dulieutho,ChiTiet!AJ$2,FALSE),0)*192*100/_xlfn.IFNA(VLOOKUP($B58,SOP_Banh!$C:$X,16,FALSE),0)-100,0)</f>
        <v>-13.122171945701353</v>
      </c>
      <c r="P58" s="61">
        <f>IFERROR(_xlfn.IFNA(VLOOKUP($B58,Dulieutho,ChiTiet!AG$2,FALSE),0)*100/_xlfn.IFNA(VLOOKUP($B58,SOP_Nuoc!$C:$H,3,FALSE),0)-100,0)</f>
        <v>13.122171945701353</v>
      </c>
      <c r="Q58" s="63">
        <f>IFERROR(_xlfn.IFNA(VLOOKUP($B58,Dulieutho,ChiTiet!AH$2,FALSE),0)*3600*100/_xlfn.IFNA(VLOOKUP($B58,SOP_Banh!$C:$X,18,FALSE),0)-100,0)</f>
        <v>-100</v>
      </c>
      <c r="R58" s="61">
        <f>IFERROR(_xlfn.IFNA(VLOOKUP($B58,QuyDoi_DonVi!$C:$S,17,FALSE),0)*100/_xlfn.IFNA(VLOOKUP($B58,SOP_Banh!$C:$X,19,FALSE),0),0)-100</f>
        <v>13.122171945701353</v>
      </c>
      <c r="S58" s="60">
        <f>_xlfn.IFNA(VLOOKUP($B58,SOP_Nuoc!$C:$W,19,FALSE),0)</f>
        <v>0</v>
      </c>
      <c r="T58" s="60">
        <f>IF(S58&lt;&gt;0,IFERROR(_xlfn.IFNA(VLOOKUP($B58,QuyDoi_DonVi!$C:$S,7,FALSE),0)*100/_xlfn.IFNA(VLOOKUP($B58,SOP_Nuoc!$C:$W,20,FALSE),0),0)-100,0)</f>
        <v>0</v>
      </c>
      <c r="U58" s="60">
        <f>_xlfn.IFNA(VLOOKUP($B58,QuyDoi_DonVi!$C:$S,10,FALSE),0)</f>
        <v>12</v>
      </c>
      <c r="V58" s="60">
        <f>_xlfn.IFNA(VLOOKUP($B58,QuyDoi_DonVi!$C:$S,8,FALSE),0)</f>
        <v>4</v>
      </c>
      <c r="W58" s="60">
        <f>_xlfn.IFNA(VLOOKUP($B58,Dulieutho,ChiTiet!S$2,FALSE),0)</f>
        <v>84</v>
      </c>
    </row>
    <row r="59" spans="1:23" ht="15.6">
      <c r="A59" s="10" t="s">
        <v>93</v>
      </c>
      <c r="B59" s="9" t="s">
        <v>206</v>
      </c>
      <c r="C59" s="11" t="s">
        <v>207</v>
      </c>
      <c r="D59" s="62">
        <f>IFERROR(SUM(_xlfn.IFNA(VLOOKUP($B59,Dulieutho,ChiTiet!J$2,FALSE),0),_xlfn.IFNA(VLOOKUP($B59,Dulieutho,ChiTiet!K$2,FALSE),0),_xlfn.IFNA(VLOOKUP($B59,Dulieutho,ChiTiet!AK$2,FALSE),0),_xlfn.IFNA(VLOOKUP($B59,Dulieutho,ChiTiet!AL$2,FALSE),0))*100/_xlfn.IFNA(VLOOKUP($B59,SOP_Banh!$C:$X,7,FALSE),0),0)-100</f>
        <v>1.1560693641618514</v>
      </c>
      <c r="E59" s="61">
        <f>IFERROR(_xlfn.IFNA(VLOOKUP($B59,QuyDoi_DonVi!$C:$S,12,FALSE),0)*100/_xlfn.IFNA(VLOOKUP($B59,SOP_Banh!$C:$X,8,FALSE),0),0)-100</f>
        <v>43.626570915619396</v>
      </c>
      <c r="F59" s="61">
        <f>IFERROR(_xlfn.IFNA(VLOOKUP($B59,QuyDoi_DonVi!$C:$S,13,FALSE),0)*100/_xlfn.IFNA(VLOOKUP($B59,SOP_Banh!$C:$X,9,FALSE),0),0)-100</f>
        <v>-17.08126036484245</v>
      </c>
      <c r="G59" s="63">
        <f>IFERROR(_xlfn.IFNA(VLOOKUP($B59,Dulieutho,ChiTiet!Z$2,FALSE),0)*100/_xlfn.IFNA(VLOOKUP($B59,SOP_Banh!$C:$X,10,FALSE),0),0)-100</f>
        <v>-30.434782608695656</v>
      </c>
      <c r="H59" s="61">
        <f>IFERROR(SUM(_xlfn.IFNA(VLOOKUP($B59,Dulieutho,ChiTiet!AB$2,FALSE),0),_xlfn.IFNA(VLOOKUP($B59,Dulieutho,ChiTiet!AC$2,FALSE),0))*100/_xlfn.IFNA(VLOOKUP($B59,SOP_Banh!$C:$X,20,FALSE),0)-100,0)</f>
        <v>-42.196531791907518</v>
      </c>
      <c r="I59" s="61">
        <f>IFERROR(_xlfn.IFNA(VLOOKUP($B59,Dulieutho,ChiTiet!AF$2,FALSE),0)*100/_xlfn.IFNA(VLOOKUP($B59,SOP_Banh!$C:$X,21,FALSE),0)-100,0)</f>
        <v>31.578947368421041</v>
      </c>
      <c r="J59" s="61">
        <f>IFERROR(_xlfn.IFNA(VLOOKUP($B59,Dulieutho,ChiTiet!AD$2,FALSE),0)*100/_xlfn.IFNA(VLOOKUP($B59,SOP_Banh!$C:$X,22,FALSE),0)-100,0)</f>
        <v>-40.476190476190474</v>
      </c>
      <c r="K59" s="61">
        <f>IFERROR(_xlfn.IFNA(VLOOKUP($B59,QuyDoi_DonVi!$C:$S,3,FALSE),0)*100/_xlfn.IFNA(VLOOKUP($B59,SOP_Banh!$C:$X,12,FALSE),0),0)-100</f>
        <v>-100</v>
      </c>
      <c r="L59" s="61">
        <f>IFERROR(_xlfn.IFNA(VLOOKUP($B59,QuyDoi_DonVi!$C:$S,5,FALSE),0)*100/(_xlfn.IFNA(VLOOKUP($B59,SOP_Banh!$C:$X,13,FALSE),0)*16)-100,0)</f>
        <v>-61.904761904761905</v>
      </c>
      <c r="M59" s="61">
        <f>IFERROR(_xlfn.IFNA(VLOOKUP($B59,QuyDoi_DonVi!$C:$S,4,FALSE),0)*100/_xlfn.IFNA(VLOOKUP($B59,SOP_Banh!$C:$X,14,FALSE),0),0)-100</f>
        <v>19.047619047619051</v>
      </c>
      <c r="N59" s="61">
        <f>IFERROR(_xlfn.IFNA(VLOOKUP($B59,Dulieutho,ChiTiet!L$2,FALSE),0)*100/_xlfn.IFNA(VLOOKUP($B59,SOP_Banh!$C:$X,15,FALSE),0),0)-100</f>
        <v>44.73684210526315</v>
      </c>
      <c r="O59" s="61">
        <f>IFERROR(_xlfn.IFNA(VLOOKUP($B59,Dulieutho,ChiTiet!AJ$2,FALSE),0)*192*100/_xlfn.IFNA(VLOOKUP($B59,SOP_Banh!$C:$X,16,FALSE),0)-100,0)</f>
        <v>-10.140405616224655</v>
      </c>
      <c r="P59" s="61">
        <f>IFERROR(_xlfn.IFNA(VLOOKUP($B59,Dulieutho,ChiTiet!AG$2,FALSE),0)*100/_xlfn.IFNA(VLOOKUP($B59,SOP_Nuoc!$C:$H,3,FALSE),0)-100,0)</f>
        <v>-21.996879875195006</v>
      </c>
      <c r="Q59" s="63">
        <f>IFERROR(_xlfn.IFNA(VLOOKUP($B59,Dulieutho,ChiTiet!AH$2,FALSE),0)*3600*100/_xlfn.IFNA(VLOOKUP($B59,SOP_Banh!$C:$X,18,FALSE),0)-100,0)</f>
        <v>-100</v>
      </c>
      <c r="R59" s="61">
        <f>IFERROR(_xlfn.IFNA(VLOOKUP($B59,QuyDoi_DonVi!$C:$S,17,FALSE),0)*100/_xlfn.IFNA(VLOOKUP($B59,SOP_Banh!$C:$X,19,FALSE),0),0)-100</f>
        <v>-21.996879875195006</v>
      </c>
      <c r="S59" s="60">
        <f>_xlfn.IFNA(VLOOKUP($B59,SOP_Nuoc!$C:$W,19,FALSE),0)</f>
        <v>25</v>
      </c>
      <c r="T59" s="60">
        <f>IF(S59&lt;&gt;0,IFERROR(_xlfn.IFNA(VLOOKUP($B59,QuyDoi_DonVi!$C:$S,7,FALSE),0)*100/_xlfn.IFNA(VLOOKUP($B59,SOP_Nuoc!$C:$W,20,FALSE),0),0)-100,0)</f>
        <v>-56.000000000000007</v>
      </c>
      <c r="U59" s="60">
        <f>_xlfn.IFNA(VLOOKUP($B59,QuyDoi_DonVi!$C:$S,10,FALSE),0)</f>
        <v>0</v>
      </c>
      <c r="V59" s="60">
        <f>_xlfn.IFNA(VLOOKUP($B59,QuyDoi_DonVi!$C:$S,8,FALSE),0)</f>
        <v>4</v>
      </c>
      <c r="W59" s="60">
        <f>_xlfn.IFNA(VLOOKUP($B59,Dulieutho,ChiTiet!S$2,FALSE),0)</f>
        <v>36</v>
      </c>
    </row>
    <row r="60" spans="1:23" ht="15.6">
      <c r="A60" s="10" t="s">
        <v>93</v>
      </c>
      <c r="B60" s="9" t="s">
        <v>208</v>
      </c>
      <c r="C60" s="11" t="s">
        <v>209</v>
      </c>
      <c r="D60" s="62">
        <f>IFERROR(SUM(_xlfn.IFNA(VLOOKUP($B60,Dulieutho,ChiTiet!J$2,FALSE),0),_xlfn.IFNA(VLOOKUP($B60,Dulieutho,ChiTiet!K$2,FALSE),0),_xlfn.IFNA(VLOOKUP($B60,Dulieutho,ChiTiet!AK$2,FALSE),0),_xlfn.IFNA(VLOOKUP($B60,Dulieutho,ChiTiet!AL$2,FALSE),0))*100/_xlfn.IFNA(VLOOKUP($B60,SOP_Banh!$C:$X,7,FALSE),0),0)-100</f>
        <v>6.25</v>
      </c>
      <c r="E60" s="61">
        <f>IFERROR(_xlfn.IFNA(VLOOKUP($B60,QuyDoi_DonVi!$C:$S,12,FALSE),0)*100/_xlfn.IFNA(VLOOKUP($B60,SOP_Banh!$C:$X,8,FALSE),0),0)-100</f>
        <v>17.1875</v>
      </c>
      <c r="F60" s="61">
        <f>IFERROR(_xlfn.IFNA(VLOOKUP($B60,QuyDoi_DonVi!$C:$S,13,FALSE),0)*100/_xlfn.IFNA(VLOOKUP($B60,SOP_Banh!$C:$X,9,FALSE),0),0)-100</f>
        <v>-28.861788617886177</v>
      </c>
      <c r="G60" s="63">
        <f>IFERROR(_xlfn.IFNA(VLOOKUP($B60,Dulieutho,ChiTiet!Z$2,FALSE),0)*100/_xlfn.IFNA(VLOOKUP($B60,SOP_Banh!$C:$X,10,FALSE),0),0)-100</f>
        <v>-27.272727272727266</v>
      </c>
      <c r="H60" s="61">
        <f>IFERROR(SUM(_xlfn.IFNA(VLOOKUP($B60,Dulieutho,ChiTiet!AB$2,FALSE),0),_xlfn.IFNA(VLOOKUP($B60,Dulieutho,ChiTiet!AC$2,FALSE),0))*100/_xlfn.IFNA(VLOOKUP($B60,SOP_Banh!$C:$X,20,FALSE),0)-100,0)</f>
        <v>-37.5</v>
      </c>
      <c r="I60" s="61">
        <f>IFERROR(_xlfn.IFNA(VLOOKUP($B60,Dulieutho,ChiTiet!AF$2,FALSE),0)*100/_xlfn.IFNA(VLOOKUP($B60,SOP_Banh!$C:$X,21,FALSE),0)-100,0)</f>
        <v>56.25</v>
      </c>
      <c r="J60" s="61">
        <f>IFERROR(_xlfn.IFNA(VLOOKUP($B60,Dulieutho,ChiTiet!AD$2,FALSE),0)*100/_xlfn.IFNA(VLOOKUP($B60,SOP_Banh!$C:$X,22,FALSE),0)-100,0)</f>
        <v>-100</v>
      </c>
      <c r="K60" s="61">
        <f>IFERROR(_xlfn.IFNA(VLOOKUP($B60,QuyDoi_DonVi!$C:$S,3,FALSE),0)*100/_xlfn.IFNA(VLOOKUP($B60,SOP_Banh!$C:$X,12,FALSE),0),0)-100</f>
        <v>-100</v>
      </c>
      <c r="L60" s="61">
        <f>IFERROR(_xlfn.IFNA(VLOOKUP($B60,QuyDoi_DonVi!$C:$S,5,FALSE),0)*100/(_xlfn.IFNA(VLOOKUP($B60,SOP_Banh!$C:$X,13,FALSE),0)*16)-100,0)</f>
        <v>-33.333333333333329</v>
      </c>
      <c r="M60" s="61">
        <f>IFERROR(_xlfn.IFNA(VLOOKUP($B60,QuyDoi_DonVi!$C:$S,4,FALSE),0)*100/_xlfn.IFNA(VLOOKUP($B60,SOP_Banh!$C:$X,14,FALSE),0),0)-100</f>
        <v>316.66666666666669</v>
      </c>
      <c r="N60" s="61">
        <f>IFERROR(_xlfn.IFNA(VLOOKUP($B60,Dulieutho,ChiTiet!L$2,FALSE),0)*100/_xlfn.IFNA(VLOOKUP($B60,SOP_Banh!$C:$X,15,FALSE),0),0)-100</f>
        <v>1.5625</v>
      </c>
      <c r="O60" s="61">
        <f>IFERROR(_xlfn.IFNA(VLOOKUP($B60,Dulieutho,ChiTiet!AJ$2,FALSE),0)*192*100/_xlfn.IFNA(VLOOKUP($B60,SOP_Banh!$C:$X,16,FALSE),0)-100,0)</f>
        <v>-26.717557251908403</v>
      </c>
      <c r="P60" s="61">
        <f>IFERROR(_xlfn.IFNA(VLOOKUP($B60,Dulieutho,ChiTiet!AG$2,FALSE),0)*100/_xlfn.IFNA(VLOOKUP($B60,SOP_Nuoc!$C:$H,3,FALSE),0)-100,0)</f>
        <v>-4.5801526717557266</v>
      </c>
      <c r="Q60" s="63">
        <f>IFERROR(_xlfn.IFNA(VLOOKUP($B60,Dulieutho,ChiTiet!AH$2,FALSE),0)*3600*100/_xlfn.IFNA(VLOOKUP($B60,SOP_Banh!$C:$X,18,FALSE),0)-100,0)</f>
        <v>71.755725190839684</v>
      </c>
      <c r="R60" s="61">
        <f>IFERROR(_xlfn.IFNA(VLOOKUP($B60,QuyDoi_DonVi!$C:$S,17,FALSE),0)*100/_xlfn.IFNA(VLOOKUP($B60,SOP_Banh!$C:$X,19,FALSE),0),0)-100</f>
        <v>-4.5801526717557266</v>
      </c>
      <c r="S60" s="60">
        <f>_xlfn.IFNA(VLOOKUP($B60,SOP_Nuoc!$C:$W,19,FALSE),0)</f>
        <v>0</v>
      </c>
      <c r="T60" s="60">
        <f>IF(S60&lt;&gt;0,IFERROR(_xlfn.IFNA(VLOOKUP($B60,QuyDoi_DonVi!$C:$S,7,FALSE),0)*100/_xlfn.IFNA(VLOOKUP($B60,SOP_Nuoc!$C:$W,20,FALSE),0),0)-100,0)</f>
        <v>0</v>
      </c>
      <c r="U60" s="60">
        <f>_xlfn.IFNA(VLOOKUP($B60,QuyDoi_DonVi!$C:$S,10,FALSE),0)</f>
        <v>12</v>
      </c>
      <c r="V60" s="60">
        <f>_xlfn.IFNA(VLOOKUP($B60,QuyDoi_DonVi!$C:$S,8,FALSE),0)</f>
        <v>7</v>
      </c>
      <c r="W60" s="60">
        <f>_xlfn.IFNA(VLOOKUP($B60,Dulieutho,ChiTiet!S$2,FALSE),0)</f>
        <v>120</v>
      </c>
    </row>
    <row r="61" spans="1:23" ht="15.6">
      <c r="A61" s="10" t="s">
        <v>93</v>
      </c>
      <c r="B61" s="9" t="s">
        <v>210</v>
      </c>
      <c r="C61" s="11" t="s">
        <v>211</v>
      </c>
      <c r="D61" s="62">
        <f>IFERROR(SUM(_xlfn.IFNA(VLOOKUP($B61,Dulieutho,ChiTiet!J$2,FALSE),0),_xlfn.IFNA(VLOOKUP($B61,Dulieutho,ChiTiet!K$2,FALSE),0),_xlfn.IFNA(VLOOKUP($B61,Dulieutho,ChiTiet!AK$2,FALSE),0),_xlfn.IFNA(VLOOKUP($B61,Dulieutho,ChiTiet!AL$2,FALSE),0))*100/_xlfn.IFNA(VLOOKUP($B61,SOP_Banh!$C:$X,7,FALSE),0),0)-100</f>
        <v>23.350253807106597</v>
      </c>
      <c r="E61" s="61">
        <f>IFERROR(_xlfn.IFNA(VLOOKUP($B61,QuyDoi_DonVi!$C:$S,12,FALSE),0)*100/_xlfn.IFNA(VLOOKUP($B61,SOP_Banh!$C:$X,8,FALSE),0),0)-100</f>
        <v>22.699386503067487</v>
      </c>
      <c r="F61" s="61">
        <f>IFERROR(_xlfn.IFNA(VLOOKUP($B61,QuyDoi_DonVi!$C:$S,13,FALSE),0)*100/_xlfn.IFNA(VLOOKUP($B61,SOP_Banh!$C:$X,9,FALSE),0),0)-100</f>
        <v>26.696832579185525</v>
      </c>
      <c r="G61" s="63">
        <f>IFERROR(_xlfn.IFNA(VLOOKUP($B61,Dulieutho,ChiTiet!Z$2,FALSE),0)*100/_xlfn.IFNA(VLOOKUP($B61,SOP_Banh!$C:$X,10,FALSE),0),0)-100</f>
        <v>-55.555555555555557</v>
      </c>
      <c r="H61" s="61">
        <f>IFERROR(SUM(_xlfn.IFNA(VLOOKUP($B61,Dulieutho,ChiTiet!AB$2,FALSE),0),_xlfn.IFNA(VLOOKUP($B61,Dulieutho,ChiTiet!AC$2,FALSE),0))*100/_xlfn.IFNA(VLOOKUP($B61,SOP_Banh!$C:$X,20,FALSE),0)-100,0)</f>
        <v>-39.086294416243653</v>
      </c>
      <c r="I61" s="61">
        <f>IFERROR(_xlfn.IFNA(VLOOKUP($B61,Dulieutho,ChiTiet!AF$2,FALSE),0)*100/_xlfn.IFNA(VLOOKUP($B61,SOP_Banh!$C:$X,21,FALSE),0)-100,0)</f>
        <v>28.205128205128204</v>
      </c>
      <c r="J61" s="61">
        <f>IFERROR(_xlfn.IFNA(VLOOKUP($B61,Dulieutho,ChiTiet!AD$2,FALSE),0)*100/_xlfn.IFNA(VLOOKUP($B61,SOP_Banh!$C:$X,22,FALSE),0)-100,0)</f>
        <v>25</v>
      </c>
      <c r="K61" s="61">
        <f>IFERROR(_xlfn.IFNA(VLOOKUP($B61,QuyDoi_DonVi!$C:$S,3,FALSE),0)*100/_xlfn.IFNA(VLOOKUP($B61,SOP_Banh!$C:$X,12,FALSE),0),0)-100</f>
        <v>-16.666666666666671</v>
      </c>
      <c r="L61" s="61">
        <f>IFERROR(_xlfn.IFNA(VLOOKUP($B61,QuyDoi_DonVi!$C:$S,5,FALSE),0)*100/(_xlfn.IFNA(VLOOKUP($B61,SOP_Banh!$C:$X,13,FALSE),0)*16)-100,0)</f>
        <v>-46.666666666666664</v>
      </c>
      <c r="M61" s="61">
        <f>IFERROR(_xlfn.IFNA(VLOOKUP($B61,QuyDoi_DonVi!$C:$S,4,FALSE),0)*100/_xlfn.IFNA(VLOOKUP($B61,SOP_Banh!$C:$X,14,FALSE),0),0)-100</f>
        <v>-100</v>
      </c>
      <c r="N61" s="61">
        <f>IFERROR(_xlfn.IFNA(VLOOKUP($B61,Dulieutho,ChiTiet!L$2,FALSE),0)*100/_xlfn.IFNA(VLOOKUP($B61,SOP_Banh!$C:$X,15,FALSE),0),0)-100</f>
        <v>-23.07692307692308</v>
      </c>
      <c r="O61" s="61">
        <f>IFERROR(_xlfn.IFNA(VLOOKUP($B61,Dulieutho,ChiTiet!AJ$2,FALSE),0)*192*100/_xlfn.IFNA(VLOOKUP($B61,SOP_Banh!$C:$X,16,FALSE),0)-100,0)</f>
        <v>-31.482950039651072</v>
      </c>
      <c r="P61" s="61">
        <f>IFERROR(_xlfn.IFNA(VLOOKUP($B61,Dulieutho,ChiTiet!AG$2,FALSE),0)*100/_xlfn.IFNA(VLOOKUP($B61,SOP_Nuoc!$C:$H,3,FALSE),0)-100,0)</f>
        <v>-20.697858842188737</v>
      </c>
      <c r="Q61" s="63">
        <f>IFERROR(_xlfn.IFNA(VLOOKUP($B61,Dulieutho,ChiTiet!AH$2,FALSE),0)*3600*100/_xlfn.IFNA(VLOOKUP($B61,SOP_Banh!$C:$X,18,FALSE),0)-100,0)</f>
        <v>-100</v>
      </c>
      <c r="R61" s="61">
        <f>IFERROR(_xlfn.IFNA(VLOOKUP($B61,QuyDoi_DonVi!$C:$S,17,FALSE),0)*100/_xlfn.IFNA(VLOOKUP($B61,SOP_Banh!$C:$X,19,FALSE),0),0)-100</f>
        <v>-20.697858842188737</v>
      </c>
      <c r="S61" s="60">
        <f>_xlfn.IFNA(VLOOKUP($B61,SOP_Nuoc!$C:$W,19,FALSE),0)</f>
        <v>25</v>
      </c>
      <c r="T61" s="60">
        <f>IF(S61&lt;&gt;0,IFERROR(_xlfn.IFNA(VLOOKUP($B61,QuyDoi_DonVi!$C:$S,7,FALSE),0)*100/_xlfn.IFNA(VLOOKUP($B61,SOP_Nuoc!$C:$W,20,FALSE),0),0)-100,0)</f>
        <v>-12.000000000000014</v>
      </c>
      <c r="U61" s="60">
        <f>_xlfn.IFNA(VLOOKUP($B61,QuyDoi_DonVi!$C:$S,10,FALSE),0)</f>
        <v>0</v>
      </c>
      <c r="V61" s="60">
        <f>_xlfn.IFNA(VLOOKUP($B61,QuyDoi_DonVi!$C:$S,8,FALSE),0)</f>
        <v>33</v>
      </c>
      <c r="W61" s="60">
        <f>_xlfn.IFNA(VLOOKUP($B61,Dulieutho,ChiTiet!S$2,FALSE),0)</f>
        <v>96</v>
      </c>
    </row>
    <row r="62" spans="1:23" ht="15.6">
      <c r="A62" s="10" t="s">
        <v>93</v>
      </c>
      <c r="B62" s="9" t="s">
        <v>212</v>
      </c>
      <c r="C62" s="11" t="s">
        <v>213</v>
      </c>
      <c r="D62" s="62">
        <f>IFERROR(SUM(_xlfn.IFNA(VLOOKUP($B62,Dulieutho,ChiTiet!J$2,FALSE),0),_xlfn.IFNA(VLOOKUP($B62,Dulieutho,ChiTiet!K$2,FALSE),0),_xlfn.IFNA(VLOOKUP($B62,Dulieutho,ChiTiet!AK$2,FALSE),0),_xlfn.IFNA(VLOOKUP($B62,Dulieutho,ChiTiet!AL$2,FALSE),0))*100/_xlfn.IFNA(VLOOKUP($B62,SOP_Banh!$C:$X,7,FALSE),0),0)-100</f>
        <v>-1.0638297872340416</v>
      </c>
      <c r="E62" s="61">
        <f>IFERROR(_xlfn.IFNA(VLOOKUP($B62,QuyDoi_DonVi!$C:$S,12,FALSE),0)*100/_xlfn.IFNA(VLOOKUP($B62,SOP_Banh!$C:$X,8,FALSE),0),0)-100</f>
        <v>134.8993288590604</v>
      </c>
      <c r="F62" s="61">
        <f>IFERROR(_xlfn.IFNA(VLOOKUP($B62,QuyDoi_DonVi!$C:$S,13,FALSE),0)*100/_xlfn.IFNA(VLOOKUP($B62,SOP_Banh!$C:$X,9,FALSE),0),0)-100</f>
        <v>-8.7591240875912462</v>
      </c>
      <c r="G62" s="63">
        <f>IFERROR(_xlfn.IFNA(VLOOKUP($B62,Dulieutho,ChiTiet!Z$2,FALSE),0)*100/_xlfn.IFNA(VLOOKUP($B62,SOP_Banh!$C:$X,10,FALSE),0),0)-100</f>
        <v>-15.78947368421052</v>
      </c>
      <c r="H62" s="61">
        <f>IFERROR(SUM(_xlfn.IFNA(VLOOKUP($B62,Dulieutho,ChiTiet!AB$2,FALSE),0),_xlfn.IFNA(VLOOKUP($B62,Dulieutho,ChiTiet!AC$2,FALSE),0))*100/_xlfn.IFNA(VLOOKUP($B62,SOP_Banh!$C:$X,20,FALSE),0)-100,0)</f>
        <v>-68.085106382978722</v>
      </c>
      <c r="I62" s="61">
        <f>IFERROR(_xlfn.IFNA(VLOOKUP($B62,Dulieutho,ChiTiet!AF$2,FALSE),0)*100/_xlfn.IFNA(VLOOKUP($B62,SOP_Banh!$C:$X,21,FALSE),0)-100,0)</f>
        <v>19.047619047619051</v>
      </c>
      <c r="J62" s="61">
        <f>IFERROR(_xlfn.IFNA(VLOOKUP($B62,Dulieutho,ChiTiet!AD$2,FALSE),0)*100/_xlfn.IFNA(VLOOKUP($B62,SOP_Banh!$C:$X,22,FALSE),0)-100,0)</f>
        <v>28.205128205128204</v>
      </c>
      <c r="K62" s="61">
        <f>IFERROR(_xlfn.IFNA(VLOOKUP($B62,QuyDoi_DonVi!$C:$S,3,FALSE),0)*100/_xlfn.IFNA(VLOOKUP($B62,SOP_Banh!$C:$X,12,FALSE),0),0)-100</f>
        <v>-35.897435897435898</v>
      </c>
      <c r="L62" s="61">
        <f>IFERROR(_xlfn.IFNA(VLOOKUP($B62,QuyDoi_DonVi!$C:$S,5,FALSE),0)*100/(_xlfn.IFNA(VLOOKUP($B62,SOP_Banh!$C:$X,13,FALSE),0)*16)-100,0)</f>
        <v>-17.948717948717942</v>
      </c>
      <c r="M62" s="61">
        <f>IFERROR(_xlfn.IFNA(VLOOKUP($B62,QuyDoi_DonVi!$C:$S,4,FALSE),0)*100/_xlfn.IFNA(VLOOKUP($B62,SOP_Banh!$C:$X,14,FALSE),0),0)-100</f>
        <v>156.41025641025641</v>
      </c>
      <c r="N62" s="61">
        <f>IFERROR(_xlfn.IFNA(VLOOKUP($B62,Dulieutho,ChiTiet!L$2,FALSE),0)*100/_xlfn.IFNA(VLOOKUP($B62,SOP_Banh!$C:$X,15,FALSE),0),0)-100</f>
        <v>3.1746031746031775</v>
      </c>
      <c r="O62" s="61">
        <f>IFERROR(_xlfn.IFNA(VLOOKUP($B62,Dulieutho,ChiTiet!AJ$2,FALSE),0)*192*100/_xlfn.IFNA(VLOOKUP($B62,SOP_Banh!$C:$X,16,FALSE),0)-100,0)</f>
        <v>-14.540059347181014</v>
      </c>
      <c r="P62" s="61">
        <f>IFERROR(_xlfn.IFNA(VLOOKUP($B62,Dulieutho,ChiTiet!AG$2,FALSE),0)*100/_xlfn.IFNA(VLOOKUP($B62,SOP_Nuoc!$C:$H,3,FALSE),0)-100,0)</f>
        <v>-25.816023738872403</v>
      </c>
      <c r="Q62" s="63">
        <f>IFERROR(_xlfn.IFNA(VLOOKUP($B62,Dulieutho,ChiTiet!AH$2,FALSE),0)*3600*100/_xlfn.IFNA(VLOOKUP($B62,SOP_Banh!$C:$X,18,FALSE),0)-100,0)</f>
        <v>-100</v>
      </c>
      <c r="R62" s="61">
        <f>IFERROR(_xlfn.IFNA(VLOOKUP($B62,QuyDoi_DonVi!$C:$S,17,FALSE),0)*100/_xlfn.IFNA(VLOOKUP($B62,SOP_Banh!$C:$X,19,FALSE),0),0)-100</f>
        <v>-25.816023738872403</v>
      </c>
      <c r="S62" s="60">
        <f>_xlfn.IFNA(VLOOKUP($B62,SOP_Nuoc!$C:$W,19,FALSE),0)</f>
        <v>25</v>
      </c>
      <c r="T62" s="60">
        <f>IF(S62&lt;&gt;0,IFERROR(_xlfn.IFNA(VLOOKUP($B62,QuyDoi_DonVi!$C:$S,7,FALSE),0)*100/_xlfn.IFNA(VLOOKUP($B62,SOP_Nuoc!$C:$W,20,FALSE),0),0)-100,0)</f>
        <v>-34</v>
      </c>
      <c r="U62" s="60">
        <f>_xlfn.IFNA(VLOOKUP($B62,QuyDoi_DonVi!$C:$S,10,FALSE),0)</f>
        <v>24</v>
      </c>
      <c r="V62" s="60">
        <f>_xlfn.IFNA(VLOOKUP($B62,QuyDoi_DonVi!$C:$S,8,FALSE),0)</f>
        <v>9</v>
      </c>
      <c r="W62" s="60">
        <f>_xlfn.IFNA(VLOOKUP($B62,Dulieutho,ChiTiet!S$2,FALSE),0)</f>
        <v>24</v>
      </c>
    </row>
    <row r="63" spans="1:23" ht="15.6">
      <c r="A63" s="10" t="s">
        <v>93</v>
      </c>
      <c r="B63" s="9" t="s">
        <v>214</v>
      </c>
      <c r="C63" s="11" t="s">
        <v>215</v>
      </c>
      <c r="D63" s="62">
        <f>IFERROR(SUM(_xlfn.IFNA(VLOOKUP($B63,Dulieutho,ChiTiet!J$2,FALSE),0),_xlfn.IFNA(VLOOKUP($B63,Dulieutho,ChiTiet!K$2,FALSE),0),_xlfn.IFNA(VLOOKUP($B63,Dulieutho,ChiTiet!AK$2,FALSE),0),_xlfn.IFNA(VLOOKUP($B63,Dulieutho,ChiTiet!AL$2,FALSE),0))*100/_xlfn.IFNA(VLOOKUP($B63,SOP_Banh!$C:$X,7,FALSE),0),0)-100</f>
        <v>8.1395348837209269</v>
      </c>
      <c r="E63" s="61">
        <f>IFERROR(_xlfn.IFNA(VLOOKUP($B63,QuyDoi_DonVi!$C:$S,12,FALSE),0)*100/_xlfn.IFNA(VLOOKUP($B63,SOP_Banh!$C:$X,8,FALSE),0),0)-100</f>
        <v>75.438596491228083</v>
      </c>
      <c r="F63" s="61">
        <f>IFERROR(_xlfn.IFNA(VLOOKUP($B63,QuyDoi_DonVi!$C:$S,13,FALSE),0)*100/_xlfn.IFNA(VLOOKUP($B63,SOP_Banh!$C:$X,9,FALSE),0),0)-100</f>
        <v>-56.521739130434781</v>
      </c>
      <c r="G63" s="63">
        <f>IFERROR(_xlfn.IFNA(VLOOKUP($B63,Dulieutho,ChiTiet!Z$2,FALSE),0)*100/_xlfn.IFNA(VLOOKUP($B63,SOP_Banh!$C:$X,10,FALSE),0),0)-100</f>
        <v>12.280701754385959</v>
      </c>
      <c r="H63" s="61">
        <f>IFERROR(SUM(_xlfn.IFNA(VLOOKUP($B63,Dulieutho,ChiTiet!AB$2,FALSE),0),_xlfn.IFNA(VLOOKUP($B63,Dulieutho,ChiTiet!AC$2,FALSE),0))*100/_xlfn.IFNA(VLOOKUP($B63,SOP_Banh!$C:$X,20,FALSE),0)-100,0)</f>
        <v>-18.604651162790702</v>
      </c>
      <c r="I63" s="61">
        <f>IFERROR(_xlfn.IFNA(VLOOKUP($B63,Dulieutho,ChiTiet!AF$2,FALSE),0)*100/_xlfn.IFNA(VLOOKUP($B63,SOP_Banh!$C:$X,21,FALSE),0)-100,0)</f>
        <v>-100</v>
      </c>
      <c r="J63" s="61">
        <f>IFERROR(_xlfn.IFNA(VLOOKUP($B63,Dulieutho,ChiTiet!AD$2,FALSE),0)*100/_xlfn.IFNA(VLOOKUP($B63,SOP_Banh!$C:$X,22,FALSE),0)-100,0)</f>
        <v>66.666666666666657</v>
      </c>
      <c r="K63" s="61">
        <f>IFERROR(_xlfn.IFNA(VLOOKUP($B63,QuyDoi_DonVi!$C:$S,3,FALSE),0)*100/_xlfn.IFNA(VLOOKUP($B63,SOP_Banh!$C:$X,12,FALSE),0),0)-100</f>
        <v>-100</v>
      </c>
      <c r="L63" s="61">
        <f>IFERROR(_xlfn.IFNA(VLOOKUP($B63,QuyDoi_DonVi!$C:$S,5,FALSE),0)*100/(_xlfn.IFNA(VLOOKUP($B63,SOP_Banh!$C:$X,13,FALSE),0)*16)-100,0)</f>
        <v>-46.666666666666664</v>
      </c>
      <c r="M63" s="61">
        <f>IFERROR(_xlfn.IFNA(VLOOKUP($B63,QuyDoi_DonVi!$C:$S,4,FALSE),0)*100/_xlfn.IFNA(VLOOKUP($B63,SOP_Banh!$C:$X,14,FALSE),0),0)-100</f>
        <v>-100</v>
      </c>
      <c r="N63" s="61">
        <f>IFERROR(_xlfn.IFNA(VLOOKUP($B63,Dulieutho,ChiTiet!L$2,FALSE),0)*100/_xlfn.IFNA(VLOOKUP($B63,SOP_Banh!$C:$X,15,FALSE),0),0)-100</f>
        <v>15.384615384615387</v>
      </c>
      <c r="O63" s="61">
        <f>IFERROR(_xlfn.IFNA(VLOOKUP($B63,Dulieutho,ChiTiet!AJ$2,FALSE),0)*192*100/_xlfn.IFNA(VLOOKUP($B63,SOP_Banh!$C:$X,16,FALSE),0)-100,0)</f>
        <v>-20.987654320987659</v>
      </c>
      <c r="P63" s="61">
        <f>IFERROR(_xlfn.IFNA(VLOOKUP($B63,Dulieutho,ChiTiet!AG$2,FALSE),0)*100/_xlfn.IFNA(VLOOKUP($B63,SOP_Nuoc!$C:$H,3,FALSE),0)-100,0)</f>
        <v>2.8806584362139915</v>
      </c>
      <c r="Q63" s="63">
        <f>IFERROR(_xlfn.IFNA(VLOOKUP($B63,Dulieutho,ChiTiet!AH$2,FALSE),0)*3600*100/_xlfn.IFNA(VLOOKUP($B63,SOP_Banh!$C:$X,18,FALSE),0)-100,0)</f>
        <v>-100</v>
      </c>
      <c r="R63" s="61">
        <f>IFERROR(_xlfn.IFNA(VLOOKUP($B63,QuyDoi_DonVi!$C:$S,17,FALSE),0)*100/_xlfn.IFNA(VLOOKUP($B63,SOP_Banh!$C:$X,19,FALSE),0),0)-100</f>
        <v>2.8806584362139915</v>
      </c>
      <c r="S63" s="60">
        <f>_xlfn.IFNA(VLOOKUP($B63,SOP_Nuoc!$C:$W,19,FALSE),0)</f>
        <v>0</v>
      </c>
      <c r="T63" s="60">
        <f>IF(S63&lt;&gt;0,IFERROR(_xlfn.IFNA(VLOOKUP($B63,QuyDoi_DonVi!$C:$S,7,FALSE),0)*100/_xlfn.IFNA(VLOOKUP($B63,SOP_Nuoc!$C:$W,20,FALSE),0),0)-100,0)</f>
        <v>0</v>
      </c>
      <c r="U63" s="60">
        <f>_xlfn.IFNA(VLOOKUP($B63,QuyDoi_DonVi!$C:$S,10,FALSE),0)</f>
        <v>12</v>
      </c>
      <c r="V63" s="60">
        <f>_xlfn.IFNA(VLOOKUP($B63,QuyDoi_DonVi!$C:$S,8,FALSE),0)</f>
        <v>6</v>
      </c>
      <c r="W63" s="60">
        <f>_xlfn.IFNA(VLOOKUP($B63,Dulieutho,ChiTiet!S$2,FALSE),0)</f>
        <v>24</v>
      </c>
    </row>
    <row r="64" spans="1:23" ht="15.6">
      <c r="A64" s="10" t="s">
        <v>93</v>
      </c>
      <c r="B64" s="9" t="s">
        <v>216</v>
      </c>
      <c r="C64" s="11" t="s">
        <v>217</v>
      </c>
      <c r="D64" s="62">
        <f>IFERROR(SUM(_xlfn.IFNA(VLOOKUP($B64,Dulieutho,ChiTiet!J$2,FALSE),0),_xlfn.IFNA(VLOOKUP($B64,Dulieutho,ChiTiet!K$2,FALSE),0),_xlfn.IFNA(VLOOKUP($B64,Dulieutho,ChiTiet!AK$2,FALSE),0),_xlfn.IFNA(VLOOKUP($B64,Dulieutho,ChiTiet!AL$2,FALSE),0))*100/_xlfn.IFNA(VLOOKUP($B64,SOP_Banh!$C:$X,7,FALSE),0),0)-100</f>
        <v>-8.5365853658536537</v>
      </c>
      <c r="E64" s="61">
        <f>IFERROR(_xlfn.IFNA(VLOOKUP($B64,QuyDoi_DonVi!$C:$S,12,FALSE),0)*100/_xlfn.IFNA(VLOOKUP($B64,SOP_Banh!$C:$X,8,FALSE),0),0)-100</f>
        <v>93.704600484261505</v>
      </c>
      <c r="F64" s="61">
        <f>IFERROR(_xlfn.IFNA(VLOOKUP($B64,QuyDoi_DonVi!$C:$S,13,FALSE),0)*100/_xlfn.IFNA(VLOOKUP($B64,SOP_Banh!$C:$X,9,FALSE),0),0)-100</f>
        <v>73.333333333333343</v>
      </c>
      <c r="G64" s="63">
        <f>IFERROR(_xlfn.IFNA(VLOOKUP($B64,Dulieutho,ChiTiet!Z$2,FALSE),0)*100/_xlfn.IFNA(VLOOKUP($B64,SOP_Banh!$C:$X,10,FALSE),0),0)-100</f>
        <v>14.285714285714292</v>
      </c>
      <c r="H64" s="61">
        <f>IFERROR(SUM(_xlfn.IFNA(VLOOKUP($B64,Dulieutho,ChiTiet!AB$2,FALSE),0),_xlfn.IFNA(VLOOKUP($B64,Dulieutho,ChiTiet!AC$2,FALSE),0))*100/_xlfn.IFNA(VLOOKUP($B64,SOP_Banh!$C:$X,20,FALSE),0)-100,0)</f>
        <v>11.788617886178855</v>
      </c>
      <c r="I64" s="61">
        <f>IFERROR(_xlfn.IFNA(VLOOKUP($B64,Dulieutho,ChiTiet!AF$2,FALSE),0)*100/_xlfn.IFNA(VLOOKUP($B64,SOP_Banh!$C:$X,21,FALSE),0)-100,0)</f>
        <v>-43.18181818181818</v>
      </c>
      <c r="J64" s="61">
        <f>IFERROR(_xlfn.IFNA(VLOOKUP($B64,Dulieutho,ChiTiet!AD$2,FALSE),0)*100/_xlfn.IFNA(VLOOKUP($B64,SOP_Banh!$C:$X,22,FALSE),0)-100,0)</f>
        <v>-100</v>
      </c>
      <c r="K64" s="61">
        <f>IFERROR(_xlfn.IFNA(VLOOKUP($B64,QuyDoi_DonVi!$C:$S,3,FALSE),0)*100/_xlfn.IFNA(VLOOKUP($B64,SOP_Banh!$C:$X,12,FALSE),0),0)-100</f>
        <v>733.33333333333337</v>
      </c>
      <c r="L64" s="61">
        <f>IFERROR(_xlfn.IFNA(VLOOKUP($B64,QuyDoi_DonVi!$C:$S,5,FALSE),0)*100/(_xlfn.IFNA(VLOOKUP($B64,SOP_Banh!$C:$X,13,FALSE),0)*16)-100,0)</f>
        <v>566.66666666666663</v>
      </c>
      <c r="M64" s="61">
        <f>IFERROR(_xlfn.IFNA(VLOOKUP($B64,QuyDoi_DonVi!$C:$S,4,FALSE),0)*100/_xlfn.IFNA(VLOOKUP($B64,SOP_Banh!$C:$X,14,FALSE),0),0)-100</f>
        <v>-100</v>
      </c>
      <c r="N64" s="61">
        <f>IFERROR(_xlfn.IFNA(VLOOKUP($B64,Dulieutho,ChiTiet!L$2,FALSE),0)*100/_xlfn.IFNA(VLOOKUP($B64,SOP_Banh!$C:$X,15,FALSE),0),0)-100</f>
        <v>59.090909090909093</v>
      </c>
      <c r="O64" s="61">
        <f>IFERROR(_xlfn.IFNA(VLOOKUP($B64,Dulieutho,ChiTiet!AJ$2,FALSE),0)*192*100/_xlfn.IFNA(VLOOKUP($B64,SOP_Banh!$C:$X,16,FALSE),0)-100,0)</f>
        <v>152.02863961813841</v>
      </c>
      <c r="P64" s="61">
        <f>IFERROR(_xlfn.IFNA(VLOOKUP($B64,Dulieutho,ChiTiet!AG$2,FALSE),0)*100/_xlfn.IFNA(VLOOKUP($B64,SOP_Nuoc!$C:$H,3,FALSE),0)-100,0)</f>
        <v>78.997613365155132</v>
      </c>
      <c r="Q64" s="63">
        <f>IFERROR(_xlfn.IFNA(VLOOKUP($B64,Dulieutho,ChiTiet!AH$2,FALSE),0)*3600*100/_xlfn.IFNA(VLOOKUP($B64,SOP_Banh!$C:$X,18,FALSE),0)-100,0)</f>
        <v>114.79713603818615</v>
      </c>
      <c r="R64" s="61">
        <f>IFERROR(_xlfn.IFNA(VLOOKUP($B64,QuyDoi_DonVi!$C:$S,17,FALSE),0)*100/_xlfn.IFNA(VLOOKUP($B64,SOP_Banh!$C:$X,19,FALSE),0),0)-100</f>
        <v>78.997613365155132</v>
      </c>
      <c r="S64" s="60">
        <f>_xlfn.IFNA(VLOOKUP($B64,SOP_Nuoc!$C:$W,19,FALSE),0)</f>
        <v>0</v>
      </c>
      <c r="T64" s="60">
        <f>IF(S64&lt;&gt;0,IFERROR(_xlfn.IFNA(VLOOKUP($B64,QuyDoi_DonVi!$C:$S,7,FALSE),0)*100/_xlfn.IFNA(VLOOKUP($B64,SOP_Nuoc!$C:$W,20,FALSE),0),0)-100,0)</f>
        <v>0</v>
      </c>
      <c r="U64" s="60">
        <f>_xlfn.IFNA(VLOOKUP($B64,QuyDoi_DonVi!$C:$S,10,FALSE),0)</f>
        <v>12</v>
      </c>
      <c r="V64" s="60">
        <f>_xlfn.IFNA(VLOOKUP($B64,QuyDoi_DonVi!$C:$S,8,FALSE),0)</f>
        <v>10</v>
      </c>
      <c r="W64" s="60">
        <f>_xlfn.IFNA(VLOOKUP($B64,Dulieutho,ChiTiet!S$2,FALSE),0)</f>
        <v>72</v>
      </c>
    </row>
    <row r="65" spans="1:23" ht="15.6">
      <c r="A65" s="10" t="s">
        <v>219</v>
      </c>
      <c r="B65" s="9" t="s">
        <v>218</v>
      </c>
      <c r="C65" s="11" t="s">
        <v>220</v>
      </c>
      <c r="D65" s="62">
        <f>IFERROR(SUM(_xlfn.IFNA(VLOOKUP($B65,Dulieutho,ChiTiet!J$2,FALSE),0),_xlfn.IFNA(VLOOKUP($B65,Dulieutho,ChiTiet!K$2,FALSE),0),_xlfn.IFNA(VLOOKUP($B65,Dulieutho,ChiTiet!AK$2,FALSE),0),_xlfn.IFNA(VLOOKUP($B65,Dulieutho,ChiTiet!AL$2,FALSE),0))*100/_xlfn.IFNA(VLOOKUP($B65,SOP_Banh!$C:$X,7,FALSE),0),0)-100</f>
        <v>0.50251256281407564</v>
      </c>
      <c r="E65" s="61">
        <f>IFERROR(_xlfn.IFNA(VLOOKUP($B65,QuyDoi_DonVi!$C:$S,12,FALSE),0)*100/_xlfn.IFNA(VLOOKUP($B65,SOP_Banh!$C:$X,8,FALSE),0),0)-100</f>
        <v>51.285930408472012</v>
      </c>
      <c r="F65" s="61">
        <f>IFERROR(_xlfn.IFNA(VLOOKUP($B65,QuyDoi_DonVi!$C:$S,13,FALSE),0)*100/_xlfn.IFNA(VLOOKUP($B65,SOP_Banh!$C:$X,9,FALSE),0),0)-100</f>
        <v>-26.578560939794414</v>
      </c>
      <c r="G65" s="63">
        <f>IFERROR(_xlfn.IFNA(VLOOKUP($B65,Dulieutho,ChiTiet!Z$2,FALSE),0)*100/_xlfn.IFNA(VLOOKUP($B65,SOP_Banh!$C:$X,10,FALSE),0),0)-100</f>
        <v>-27.272727272727266</v>
      </c>
      <c r="H65" s="61">
        <f>IFERROR(SUM(_xlfn.IFNA(VLOOKUP($B65,Dulieutho,ChiTiet!AB$2,FALSE),0),_xlfn.IFNA(VLOOKUP($B65,Dulieutho,ChiTiet!AC$2,FALSE),0))*100/_xlfn.IFNA(VLOOKUP($B65,SOP_Banh!$C:$X,20,FALSE),0)-100,0)</f>
        <v>-32.998324958123959</v>
      </c>
      <c r="I65" s="61">
        <f>IFERROR(_xlfn.IFNA(VLOOKUP($B65,Dulieutho,ChiTiet!AF$2,FALSE),0)*100/_xlfn.IFNA(VLOOKUP($B65,SOP_Banh!$C:$X,21,FALSE),0)-100,0)</f>
        <v>-21.875</v>
      </c>
      <c r="J65" s="61">
        <f>IFERROR(_xlfn.IFNA(VLOOKUP($B65,Dulieutho,ChiTiet!AD$2,FALSE),0)*100/_xlfn.IFNA(VLOOKUP($B65,SOP_Banh!$C:$X,22,FALSE),0)-100,0)</f>
        <v>19.047619047619051</v>
      </c>
      <c r="K65" s="61">
        <f>IFERROR(_xlfn.IFNA(VLOOKUP($B65,QuyDoi_DonVi!$C:$S,3,FALSE),0)*100/_xlfn.IFNA(VLOOKUP($B65,SOP_Banh!$C:$X,12,FALSE),0),0)-100</f>
        <v>-100</v>
      </c>
      <c r="L65" s="61">
        <f>IFERROR(_xlfn.IFNA(VLOOKUP($B65,QuyDoi_DonVi!$C:$S,5,FALSE),0)*100/(_xlfn.IFNA(VLOOKUP($B65,SOP_Banh!$C:$X,13,FALSE),0)*16)-100,0)</f>
        <v>-42.857142857142854</v>
      </c>
      <c r="M65" s="61">
        <f>IFERROR(_xlfn.IFNA(VLOOKUP($B65,QuyDoi_DonVi!$C:$S,4,FALSE),0)*100/_xlfn.IFNA(VLOOKUP($B65,SOP_Banh!$C:$X,14,FALSE),0),0)-100</f>
        <v>19.047619047619051</v>
      </c>
      <c r="N65" s="61">
        <f>IFERROR(_xlfn.IFNA(VLOOKUP($B65,Dulieutho,ChiTiet!L$2,FALSE),0)*100/_xlfn.IFNA(VLOOKUP($B65,SOP_Banh!$C:$X,15,FALSE),0),0)-100</f>
        <v>17.1875</v>
      </c>
      <c r="O65" s="61">
        <f>IFERROR(_xlfn.IFNA(VLOOKUP($B65,Dulieutho,ChiTiet!AJ$2,FALSE),0)*192*100/_xlfn.IFNA(VLOOKUP($B65,SOP_Banh!$C:$X,16,FALSE),0)-100,0)</f>
        <v>-22.68456375838926</v>
      </c>
      <c r="P65" s="61">
        <f>IFERROR(_xlfn.IFNA(VLOOKUP($B65,Dulieutho,ChiTiet!AG$2,FALSE),0)*100/_xlfn.IFNA(VLOOKUP($B65,SOP_Nuoc!$C:$H,3,FALSE),0)-100,0)</f>
        <v>-32.885906040268452</v>
      </c>
      <c r="Q65" s="63">
        <f>IFERROR(_xlfn.IFNA(VLOOKUP($B65,Dulieutho,ChiTiet!AH$2,FALSE),0)*3600*100/_xlfn.IFNA(VLOOKUP($B65,SOP_Banh!$C:$X,18,FALSE),0)-100,0)</f>
        <v>-100</v>
      </c>
      <c r="R65" s="61">
        <f>IFERROR(_xlfn.IFNA(VLOOKUP($B65,QuyDoi_DonVi!$C:$S,17,FALSE),0)*100/_xlfn.IFNA(VLOOKUP($B65,SOP_Banh!$C:$X,19,FALSE),0),0)-100</f>
        <v>-32.885906040268452</v>
      </c>
      <c r="S65" s="60">
        <f>_xlfn.IFNA(VLOOKUP($B65,SOP_Nuoc!$C:$W,19,FALSE),0)</f>
        <v>25</v>
      </c>
      <c r="T65" s="60">
        <f>IF(S65&lt;&gt;0,IFERROR(_xlfn.IFNA(VLOOKUP($B65,QuyDoi_DonVi!$C:$S,7,FALSE),0)*100/_xlfn.IFNA(VLOOKUP($B65,SOP_Nuoc!$C:$W,20,FALSE),0),0)-100,0)</f>
        <v>-56.000000000000007</v>
      </c>
      <c r="U65" s="60">
        <f>_xlfn.IFNA(VLOOKUP($B65,QuyDoi_DonVi!$C:$S,10,FALSE),0)</f>
        <v>0</v>
      </c>
      <c r="V65" s="60">
        <f>_xlfn.IFNA(VLOOKUP($B65,QuyDoi_DonVi!$C:$S,8,FALSE),0)</f>
        <v>9.5</v>
      </c>
      <c r="W65" s="60">
        <f>_xlfn.IFNA(VLOOKUP($B65,Dulieutho,ChiTiet!S$2,FALSE),0)</f>
        <v>48</v>
      </c>
    </row>
    <row r="66" spans="1:23" ht="15.6">
      <c r="A66" s="10" t="s">
        <v>219</v>
      </c>
      <c r="B66" s="9" t="s">
        <v>221</v>
      </c>
      <c r="C66" s="11" t="s">
        <v>222</v>
      </c>
      <c r="D66" s="62">
        <f>IFERROR(SUM(_xlfn.IFNA(VLOOKUP($B66,Dulieutho,ChiTiet!J$2,FALSE),0),_xlfn.IFNA(VLOOKUP($B66,Dulieutho,ChiTiet!K$2,FALSE),0),_xlfn.IFNA(VLOOKUP($B66,Dulieutho,ChiTiet!AK$2,FALSE),0),_xlfn.IFNA(VLOOKUP($B66,Dulieutho,ChiTiet!AL$2,FALSE),0))*100/_xlfn.IFNA(VLOOKUP($B66,SOP_Banh!$C:$X,7,FALSE),0),0)-100</f>
        <v>-2.4663677130044874</v>
      </c>
      <c r="E66" s="61">
        <f>IFERROR(_xlfn.IFNA(VLOOKUP($B66,QuyDoi_DonVi!$C:$S,12,FALSE),0)*100/_xlfn.IFNA(VLOOKUP($B66,SOP_Banh!$C:$X,8,FALSE),0),0)-100</f>
        <v>71.673819742489258</v>
      </c>
      <c r="F66" s="61">
        <f>IFERROR(_xlfn.IFNA(VLOOKUP($B66,QuyDoi_DonVi!$C:$S,13,FALSE),0)*100/_xlfn.IFNA(VLOOKUP($B66,SOP_Banh!$C:$X,9,FALSE),0),0)-100</f>
        <v>2.4590163934426243</v>
      </c>
      <c r="G66" s="63">
        <f>IFERROR(_xlfn.IFNA(VLOOKUP($B66,Dulieutho,ChiTiet!Z$2,FALSE),0)*100/_xlfn.IFNA(VLOOKUP($B66,SOP_Banh!$C:$X,10,FALSE),0),0)-100</f>
        <v>60</v>
      </c>
      <c r="H66" s="61">
        <f>IFERROR(SUM(_xlfn.IFNA(VLOOKUP($B66,Dulieutho,ChiTiet!AB$2,FALSE),0),_xlfn.IFNA(VLOOKUP($B66,Dulieutho,ChiTiet!AC$2,FALSE),0))*100/_xlfn.IFNA(VLOOKUP($B66,SOP_Banh!$C:$X,20,FALSE),0)-100,0)</f>
        <v>-27.130044843049333</v>
      </c>
      <c r="I66" s="61">
        <f>IFERROR(_xlfn.IFNA(VLOOKUP($B66,Dulieutho,ChiTiet!AF$2,FALSE),0)*100/_xlfn.IFNA(VLOOKUP($B66,SOP_Banh!$C:$X,21,FALSE),0)-100,0)</f>
        <v>-100</v>
      </c>
      <c r="J66" s="61">
        <f>IFERROR(_xlfn.IFNA(VLOOKUP($B66,Dulieutho,ChiTiet!AD$2,FALSE),0)*100/_xlfn.IFNA(VLOOKUP($B66,SOP_Banh!$C:$X,22,FALSE),0)-100,0)</f>
        <v>19.047619047619051</v>
      </c>
      <c r="K66" s="61">
        <f>IFERROR(_xlfn.IFNA(VLOOKUP($B66,QuyDoi_DonVi!$C:$S,3,FALSE),0)*100/_xlfn.IFNA(VLOOKUP($B66,SOP_Banh!$C:$X,12,FALSE),0),0)-100</f>
        <v>-100</v>
      </c>
      <c r="L66" s="61">
        <f>IFERROR(_xlfn.IFNA(VLOOKUP($B66,QuyDoi_DonVi!$C:$S,5,FALSE),0)*100/(_xlfn.IFNA(VLOOKUP($B66,SOP_Banh!$C:$X,13,FALSE),0)*16)-100,0)</f>
        <v>-23.80952380952381</v>
      </c>
      <c r="M66" s="61">
        <f>IFERROR(_xlfn.IFNA(VLOOKUP($B66,QuyDoi_DonVi!$C:$S,4,FALSE),0)*100/_xlfn.IFNA(VLOOKUP($B66,SOP_Banh!$C:$X,14,FALSE),0),0)-100</f>
        <v>-100</v>
      </c>
      <c r="N66" s="61">
        <f>IFERROR(_xlfn.IFNA(VLOOKUP($B66,Dulieutho,ChiTiet!L$2,FALSE),0)*100/_xlfn.IFNA(VLOOKUP($B66,SOP_Banh!$C:$X,15,FALSE),0),0)-100</f>
        <v>0</v>
      </c>
      <c r="O66" s="61">
        <f>IFERROR(_xlfn.IFNA(VLOOKUP($B66,Dulieutho,ChiTiet!AJ$2,FALSE),0)*192*100/_xlfn.IFNA(VLOOKUP($B66,SOP_Banh!$C:$X,16,FALSE),0)-100,0)</f>
        <v>-24.409448818897644</v>
      </c>
      <c r="P66" s="61">
        <f>IFERROR(_xlfn.IFNA(VLOOKUP($B66,Dulieutho,ChiTiet!AG$2,FALSE),0)*100/_xlfn.IFNA(VLOOKUP($B66,SOP_Nuoc!$C:$H,3,FALSE),0)-100,0)</f>
        <v>-1.5748031496062964</v>
      </c>
      <c r="Q66" s="63">
        <f>IFERROR(_xlfn.IFNA(VLOOKUP($B66,Dulieutho,ChiTiet!AH$2,FALSE),0)*3600*100/_xlfn.IFNA(VLOOKUP($B66,SOP_Banh!$C:$X,18,FALSE),0)-100,0)</f>
        <v>254.3307086614173</v>
      </c>
      <c r="R66" s="61">
        <f>IFERROR(_xlfn.IFNA(VLOOKUP($B66,QuyDoi_DonVi!$C:$S,17,FALSE),0)*100/_xlfn.IFNA(VLOOKUP($B66,SOP_Banh!$C:$X,19,FALSE),0),0)-100</f>
        <v>-1.5748031496062964</v>
      </c>
      <c r="S66" s="60">
        <f>_xlfn.IFNA(VLOOKUP($B66,SOP_Nuoc!$C:$W,19,FALSE),0)</f>
        <v>0</v>
      </c>
      <c r="T66" s="60">
        <f>IF(S66&lt;&gt;0,IFERROR(_xlfn.IFNA(VLOOKUP($B66,QuyDoi_DonVi!$C:$S,7,FALSE),0)*100/_xlfn.IFNA(VLOOKUP($B66,SOP_Nuoc!$C:$W,20,FALSE),0),0)-100,0)</f>
        <v>0</v>
      </c>
      <c r="U66" s="60">
        <f>_xlfn.IFNA(VLOOKUP($B66,QuyDoi_DonVi!$C:$S,10,FALSE),0)</f>
        <v>12</v>
      </c>
      <c r="V66" s="60">
        <f>_xlfn.IFNA(VLOOKUP($B66,QuyDoi_DonVi!$C:$S,8,FALSE),0)</f>
        <v>6</v>
      </c>
      <c r="W66" s="60">
        <f>_xlfn.IFNA(VLOOKUP($B66,Dulieutho,ChiTiet!S$2,FALSE),0)</f>
        <v>24</v>
      </c>
    </row>
    <row r="67" spans="1:23" ht="15.6">
      <c r="A67" s="10" t="s">
        <v>219</v>
      </c>
      <c r="B67" s="9" t="s">
        <v>223</v>
      </c>
      <c r="C67" s="11" t="s">
        <v>224</v>
      </c>
      <c r="D67" s="62">
        <f>IFERROR(SUM(_xlfn.IFNA(VLOOKUP($B67,Dulieutho,ChiTiet!J$2,FALSE),0),_xlfn.IFNA(VLOOKUP($B67,Dulieutho,ChiTiet!K$2,FALSE),0),_xlfn.IFNA(VLOOKUP($B67,Dulieutho,ChiTiet!AK$2,FALSE),0),_xlfn.IFNA(VLOOKUP($B67,Dulieutho,ChiTiet!AL$2,FALSE),0))*100/_xlfn.IFNA(VLOOKUP($B67,SOP_Banh!$C:$X,7,FALSE),0),0)-100</f>
        <v>-8</v>
      </c>
      <c r="E67" s="61">
        <f>IFERROR(_xlfn.IFNA(VLOOKUP($B67,QuyDoi_DonVi!$C:$S,12,FALSE),0)*100/_xlfn.IFNA(VLOOKUP($B67,SOP_Banh!$C:$X,8,FALSE),0),0)-100</f>
        <v>48.883374689826297</v>
      </c>
      <c r="F67" s="61">
        <f>IFERROR(_xlfn.IFNA(VLOOKUP($B67,QuyDoi_DonVi!$C:$S,13,FALSE),0)*100/_xlfn.IFNA(VLOOKUP($B67,SOP_Banh!$C:$X,9,FALSE),0),0)-100</f>
        <v>6.6666666666666714</v>
      </c>
      <c r="G67" s="63">
        <f>IFERROR(_xlfn.IFNA(VLOOKUP($B67,Dulieutho,ChiTiet!Z$2,FALSE),0)*100/_xlfn.IFNA(VLOOKUP($B67,SOP_Banh!$C:$X,10,FALSE),0),0)-100</f>
        <v>-23.80952380952381</v>
      </c>
      <c r="H67" s="61">
        <f>IFERROR(SUM(_xlfn.IFNA(VLOOKUP($B67,Dulieutho,ChiTiet!AB$2,FALSE),0),_xlfn.IFNA(VLOOKUP($B67,Dulieutho,ChiTiet!AC$2,FALSE),0))*100/_xlfn.IFNA(VLOOKUP($B67,SOP_Banh!$C:$X,20,FALSE),0)-100,0)</f>
        <v>-40</v>
      </c>
      <c r="I67" s="61">
        <f>IFERROR(_xlfn.IFNA(VLOOKUP($B67,Dulieutho,ChiTiet!AF$2,FALSE),0)*100/_xlfn.IFNA(VLOOKUP($B67,SOP_Banh!$C:$X,21,FALSE),0)-100,0)</f>
        <v>78.571428571428584</v>
      </c>
      <c r="J67" s="61">
        <f>IFERROR(_xlfn.IFNA(VLOOKUP($B67,Dulieutho,ChiTiet!AD$2,FALSE),0)*100/_xlfn.IFNA(VLOOKUP($B67,SOP_Banh!$C:$X,22,FALSE),0)-100,0)</f>
        <v>0</v>
      </c>
      <c r="K67" s="61">
        <f>IFERROR(_xlfn.IFNA(VLOOKUP($B67,QuyDoi_DonVi!$C:$S,3,FALSE),0)*100/_xlfn.IFNA(VLOOKUP($B67,SOP_Banh!$C:$X,12,FALSE),0),0)-100</f>
        <v>-100</v>
      </c>
      <c r="L67" s="61">
        <f>IFERROR(_xlfn.IFNA(VLOOKUP($B67,QuyDoi_DonVi!$C:$S,5,FALSE),0)*100/(_xlfn.IFNA(VLOOKUP($B67,SOP_Banh!$C:$X,13,FALSE),0)*16)-100,0)</f>
        <v>0</v>
      </c>
      <c r="M67" s="61">
        <f>IFERROR(_xlfn.IFNA(VLOOKUP($B67,QuyDoi_DonVi!$C:$S,4,FALSE),0)*100/_xlfn.IFNA(VLOOKUP($B67,SOP_Banh!$C:$X,14,FALSE),0),0)-100</f>
        <v>-100</v>
      </c>
      <c r="N67" s="61">
        <f>IFERROR(_xlfn.IFNA(VLOOKUP($B67,Dulieutho,ChiTiet!L$2,FALSE),0)*100/_xlfn.IFNA(VLOOKUP($B67,SOP_Banh!$C:$X,15,FALSE),0),0)-100</f>
        <v>7.1428571428571388</v>
      </c>
      <c r="O67" s="61">
        <f>IFERROR(_xlfn.IFNA(VLOOKUP($B67,Dulieutho,ChiTiet!AJ$2,FALSE),0)*192*100/_xlfn.IFNA(VLOOKUP($B67,SOP_Banh!$C:$X,16,FALSE),0)-100,0)</f>
        <v>-4.7146401985111623</v>
      </c>
      <c r="P67" s="61">
        <f>IFERROR(_xlfn.IFNA(VLOOKUP($B67,Dulieutho,ChiTiet!AG$2,FALSE),0)*100/_xlfn.IFNA(VLOOKUP($B67,SOP_Nuoc!$C:$H,3,FALSE),0)-100,0)</f>
        <v>24.069478908188586</v>
      </c>
      <c r="Q67" s="63">
        <f>IFERROR(_xlfn.IFNA(VLOOKUP($B67,Dulieutho,ChiTiet!AH$2,FALSE),0)*3600*100/_xlfn.IFNA(VLOOKUP($B67,SOP_Banh!$C:$X,18,FALSE),0)-100,0)</f>
        <v>-100</v>
      </c>
      <c r="R67" s="61">
        <f>IFERROR(_xlfn.IFNA(VLOOKUP($B67,QuyDoi_DonVi!$C:$S,17,FALSE),0)*100/_xlfn.IFNA(VLOOKUP($B67,SOP_Banh!$C:$X,19,FALSE),0),0)-100</f>
        <v>24.069478908188586</v>
      </c>
      <c r="S67" s="60">
        <f>_xlfn.IFNA(VLOOKUP($B67,SOP_Nuoc!$C:$W,19,FALSE),0)</f>
        <v>0</v>
      </c>
      <c r="T67" s="60">
        <f>IF(S67&lt;&gt;0,IFERROR(_xlfn.IFNA(VLOOKUP($B67,QuyDoi_DonVi!$C:$S,7,FALSE),0)*100/_xlfn.IFNA(VLOOKUP($B67,SOP_Nuoc!$C:$W,20,FALSE),0),0)-100,0)</f>
        <v>0</v>
      </c>
      <c r="U67" s="60">
        <f>_xlfn.IFNA(VLOOKUP($B67,QuyDoi_DonVi!$C:$S,10,FALSE),0)</f>
        <v>0</v>
      </c>
      <c r="V67" s="60">
        <f>_xlfn.IFNA(VLOOKUP($B67,QuyDoi_DonVi!$C:$S,8,FALSE),0)</f>
        <v>0</v>
      </c>
      <c r="W67" s="60">
        <f>_xlfn.IFNA(VLOOKUP($B67,Dulieutho,ChiTiet!S$2,FALSE),0)</f>
        <v>36</v>
      </c>
    </row>
    <row r="68" spans="1:23" ht="15.6">
      <c r="A68" s="10" t="s">
        <v>219</v>
      </c>
      <c r="B68" s="9" t="s">
        <v>225</v>
      </c>
      <c r="C68" s="11" t="s">
        <v>226</v>
      </c>
      <c r="D68" s="62">
        <f>IFERROR(SUM(_xlfn.IFNA(VLOOKUP($B68,Dulieutho,ChiTiet!J$2,FALSE),0),_xlfn.IFNA(VLOOKUP($B68,Dulieutho,ChiTiet!K$2,FALSE),0),_xlfn.IFNA(VLOOKUP($B68,Dulieutho,ChiTiet!AK$2,FALSE),0),_xlfn.IFNA(VLOOKUP($B68,Dulieutho,ChiTiet!AL$2,FALSE),0))*100/_xlfn.IFNA(VLOOKUP($B68,SOP_Banh!$C:$X,7,FALSE),0),0)-100</f>
        <v>-1.270207852193991</v>
      </c>
      <c r="E68" s="61">
        <f>IFERROR(_xlfn.IFNA(VLOOKUP($B68,QuyDoi_DonVi!$C:$S,12,FALSE),0)*100/_xlfn.IFNA(VLOOKUP($B68,SOP_Banh!$C:$X,8,FALSE),0),0)-100</f>
        <v>-24.670433145009412</v>
      </c>
      <c r="F68" s="61">
        <f>IFERROR(_xlfn.IFNA(VLOOKUP($B68,QuyDoi_DonVi!$C:$S,13,FALSE),0)*100/_xlfn.IFNA(VLOOKUP($B68,SOP_Banh!$C:$X,9,FALSE),0),0)-100</f>
        <v>-53.271028037383175</v>
      </c>
      <c r="G68" s="63">
        <f>IFERROR(_xlfn.IFNA(VLOOKUP($B68,Dulieutho,ChiTiet!Z$2,FALSE),0)*100/_xlfn.IFNA(VLOOKUP($B68,SOP_Banh!$C:$X,10,FALSE),0),0)-100</f>
        <v>60</v>
      </c>
      <c r="H68" s="61">
        <f>IFERROR(SUM(_xlfn.IFNA(VLOOKUP($B68,Dulieutho,ChiTiet!AB$2,FALSE),0),_xlfn.IFNA(VLOOKUP($B68,Dulieutho,ChiTiet!AC$2,FALSE),0))*100/_xlfn.IFNA(VLOOKUP($B68,SOP_Banh!$C:$X,20,FALSE),0)-100,0)</f>
        <v>-59.584295612009235</v>
      </c>
      <c r="I68" s="61">
        <f>IFERROR(_xlfn.IFNA(VLOOKUP($B68,Dulieutho,ChiTiet!AF$2,FALSE),0)*100/_xlfn.IFNA(VLOOKUP($B68,SOP_Banh!$C:$X,21,FALSE),0)-100,0)</f>
        <v>-23.469387755102048</v>
      </c>
      <c r="J68" s="61">
        <f>IFERROR(_xlfn.IFNA(VLOOKUP($B68,Dulieutho,ChiTiet!AD$2,FALSE),0)*100/_xlfn.IFNA(VLOOKUP($B68,SOP_Banh!$C:$X,22,FALSE),0)-100,0)</f>
        <v>-26.470588235294116</v>
      </c>
      <c r="K68" s="61">
        <f>IFERROR(_xlfn.IFNA(VLOOKUP($B68,QuyDoi_DonVi!$C:$S,3,FALSE),0)*100/_xlfn.IFNA(VLOOKUP($B68,SOP_Banh!$C:$X,12,FALSE),0),0)-100</f>
        <v>-75.490196078431367</v>
      </c>
      <c r="L68" s="61">
        <f>IFERROR(_xlfn.IFNA(VLOOKUP($B68,QuyDoi_DonVi!$C:$S,5,FALSE),0)*100/(_xlfn.IFNA(VLOOKUP($B68,SOP_Banh!$C:$X,13,FALSE),0)*16)-100,0)</f>
        <v>-52.941176470588232</v>
      </c>
      <c r="M68" s="61">
        <f>IFERROR(_xlfn.IFNA(VLOOKUP($B68,QuyDoi_DonVi!$C:$S,4,FALSE),0)*100/_xlfn.IFNA(VLOOKUP($B68,SOP_Banh!$C:$X,14,FALSE),0),0)-100</f>
        <v>-50.980392156862742</v>
      </c>
      <c r="N68" s="61">
        <f>IFERROR(_xlfn.IFNA(VLOOKUP($B68,Dulieutho,ChiTiet!L$2,FALSE),0)*100/_xlfn.IFNA(VLOOKUP($B68,SOP_Banh!$C:$X,15,FALSE),0),0)-100</f>
        <v>-5.6122448979591866</v>
      </c>
      <c r="O68" s="61">
        <f>IFERROR(_xlfn.IFNA(VLOOKUP($B68,Dulieutho,ChiTiet!AJ$2,FALSE),0)*192*100/_xlfn.IFNA(VLOOKUP($B68,SOP_Banh!$C:$X,16,FALSE),0)-100,0)</f>
        <v>-24.170616113744074</v>
      </c>
      <c r="P68" s="61">
        <f>IFERROR(_xlfn.IFNA(VLOOKUP($B68,Dulieutho,ChiTiet!AG$2,FALSE),0)*100/_xlfn.IFNA(VLOOKUP($B68,SOP_Nuoc!$C:$H,3,FALSE),0)-100,0)</f>
        <v>-21.011058451816751</v>
      </c>
      <c r="Q68" s="63">
        <f>IFERROR(_xlfn.IFNA(VLOOKUP($B68,Dulieutho,ChiTiet!AH$2,FALSE),0)*3600*100/_xlfn.IFNA(VLOOKUP($B68,SOP_Banh!$C:$X,18,FALSE),0)-100,0)</f>
        <v>42.180094786729853</v>
      </c>
      <c r="R68" s="61">
        <f>IFERROR(_xlfn.IFNA(VLOOKUP($B68,QuyDoi_DonVi!$C:$S,17,FALSE),0)*100/_xlfn.IFNA(VLOOKUP($B68,SOP_Banh!$C:$X,19,FALSE),0),0)-100</f>
        <v>-21.011058451816751</v>
      </c>
      <c r="S68" s="60">
        <f>_xlfn.IFNA(VLOOKUP($B68,SOP_Nuoc!$C:$W,19,FALSE),0)</f>
        <v>0</v>
      </c>
      <c r="T68" s="60">
        <f>IF(S68&lt;&gt;0,IFERROR(_xlfn.IFNA(VLOOKUP($B68,QuyDoi_DonVi!$C:$S,7,FALSE),0)*100/_xlfn.IFNA(VLOOKUP($B68,SOP_Nuoc!$C:$W,20,FALSE),0),0)-100,0)</f>
        <v>0</v>
      </c>
      <c r="U68" s="60">
        <f>_xlfn.IFNA(VLOOKUP($B68,QuyDoi_DonVi!$C:$S,10,FALSE),0)</f>
        <v>12</v>
      </c>
      <c r="V68" s="60">
        <f>_xlfn.IFNA(VLOOKUP($B68,QuyDoi_DonVi!$C:$S,8,FALSE),0)</f>
        <v>10</v>
      </c>
      <c r="W68" s="60">
        <f>_xlfn.IFNA(VLOOKUP($B68,Dulieutho,ChiTiet!S$2,FALSE),0)</f>
        <v>60</v>
      </c>
    </row>
    <row r="69" spans="1:23" ht="15.6">
      <c r="A69" s="10" t="s">
        <v>219</v>
      </c>
      <c r="B69" s="9" t="s">
        <v>227</v>
      </c>
      <c r="C69" s="11" t="s">
        <v>228</v>
      </c>
      <c r="D69" s="62">
        <f>IFERROR(SUM(_xlfn.IFNA(VLOOKUP($B69,Dulieutho,ChiTiet!J$2,FALSE),0),_xlfn.IFNA(VLOOKUP($B69,Dulieutho,ChiTiet!K$2,FALSE),0),_xlfn.IFNA(VLOOKUP($B69,Dulieutho,ChiTiet!AK$2,FALSE),0),_xlfn.IFNA(VLOOKUP($B69,Dulieutho,ChiTiet!AL$2,FALSE),0))*100/_xlfn.IFNA(VLOOKUP($B69,SOP_Banh!$C:$X,7,FALSE),0),0)-100</f>
        <v>18.918918918918919</v>
      </c>
      <c r="E69" s="61">
        <f>IFERROR(_xlfn.IFNA(VLOOKUP($B69,QuyDoi_DonVi!$C:$S,12,FALSE),0)*100/_xlfn.IFNA(VLOOKUP($B69,SOP_Banh!$C:$X,8,FALSE),0),0)-100</f>
        <v>67.504187604690117</v>
      </c>
      <c r="F69" s="61">
        <f>IFERROR(_xlfn.IFNA(VLOOKUP($B69,QuyDoi_DonVi!$C:$S,13,FALSE),0)*100/_xlfn.IFNA(VLOOKUP($B69,SOP_Banh!$C:$X,9,FALSE),0),0)-100</f>
        <v>-1.477832512315274</v>
      </c>
      <c r="G69" s="63">
        <f>IFERROR(_xlfn.IFNA(VLOOKUP($B69,Dulieutho,ChiTiet!Z$2,FALSE),0)*100/_xlfn.IFNA(VLOOKUP($B69,SOP_Banh!$C:$X,10,FALSE),0),0)-100</f>
        <v>120.68965517241378</v>
      </c>
      <c r="H69" s="61">
        <f>IFERROR(SUM(_xlfn.IFNA(VLOOKUP($B69,Dulieutho,ChiTiet!AB$2,FALSE),0),_xlfn.IFNA(VLOOKUP($B69,Dulieutho,ChiTiet!AC$2,FALSE),0))*100/_xlfn.IFNA(VLOOKUP($B69,SOP_Banh!$C:$X,20,FALSE),0)-100,0)</f>
        <v>-27.927927927927925</v>
      </c>
      <c r="I69" s="61">
        <f>IFERROR(_xlfn.IFNA(VLOOKUP($B69,Dulieutho,ChiTiet!AF$2,FALSE),0)*100/_xlfn.IFNA(VLOOKUP($B69,SOP_Banh!$C:$X,21,FALSE),0)-100,0)</f>
        <v>19.047619047619051</v>
      </c>
      <c r="J69" s="61">
        <f>IFERROR(_xlfn.IFNA(VLOOKUP($B69,Dulieutho,ChiTiet!AD$2,FALSE),0)*100/_xlfn.IFNA(VLOOKUP($B69,SOP_Banh!$C:$X,22,FALSE),0)-100,0)</f>
        <v>-7.4074074074074048</v>
      </c>
      <c r="K69" s="61">
        <f>IFERROR(_xlfn.IFNA(VLOOKUP($B69,QuyDoi_DonVi!$C:$S,3,FALSE),0)*100/_xlfn.IFNA(VLOOKUP($B69,SOP_Banh!$C:$X,12,FALSE),0),0)-100</f>
        <v>-100</v>
      </c>
      <c r="L69" s="61">
        <f>IFERROR(_xlfn.IFNA(VLOOKUP($B69,QuyDoi_DonVi!$C:$S,5,FALSE),0)*100/(_xlfn.IFNA(VLOOKUP($B69,SOP_Banh!$C:$X,13,FALSE),0)*16)-100,0)</f>
        <v>-40.74074074074074</v>
      </c>
      <c r="M69" s="61">
        <f>IFERROR(_xlfn.IFNA(VLOOKUP($B69,QuyDoi_DonVi!$C:$S,4,FALSE),0)*100/_xlfn.IFNA(VLOOKUP($B69,SOP_Banh!$C:$X,14,FALSE),0),0)-100</f>
        <v>-100</v>
      </c>
      <c r="N69" s="61">
        <f>IFERROR(_xlfn.IFNA(VLOOKUP($B69,Dulieutho,ChiTiet!L$2,FALSE),0)*100/_xlfn.IFNA(VLOOKUP($B69,SOP_Banh!$C:$X,15,FALSE),0),0)-100</f>
        <v>-4.7619047619047592</v>
      </c>
      <c r="O69" s="61">
        <f>IFERROR(_xlfn.IFNA(VLOOKUP($B69,Dulieutho,ChiTiet!AJ$2,FALSE),0)*192*100/_xlfn.IFNA(VLOOKUP($B69,SOP_Banh!$C:$X,16,FALSE),0)-100,0)</f>
        <v>-11.52073732718894</v>
      </c>
      <c r="P69" s="61">
        <f>IFERROR(_xlfn.IFNA(VLOOKUP($B69,Dulieutho,ChiTiet!AG$2,FALSE),0)*100/_xlfn.IFNA(VLOOKUP($B69,SOP_Nuoc!$C:$H,3,FALSE),0)-100,0)</f>
        <v>130.41474654377879</v>
      </c>
      <c r="Q69" s="63">
        <f>IFERROR(_xlfn.IFNA(VLOOKUP($B69,Dulieutho,ChiTiet!AH$2,FALSE),0)*3600*100/_xlfn.IFNA(VLOOKUP($B69,SOP_Banh!$C:$X,18,FALSE),0)-100,0)</f>
        <v>-100</v>
      </c>
      <c r="R69" s="61">
        <f>IFERROR(_xlfn.IFNA(VLOOKUP($B69,QuyDoi_DonVi!$C:$S,17,FALSE),0)*100/_xlfn.IFNA(VLOOKUP($B69,SOP_Banh!$C:$X,19,FALSE),0),0)-100</f>
        <v>130.41474654377879</v>
      </c>
      <c r="S69" s="60">
        <f>_xlfn.IFNA(VLOOKUP($B69,SOP_Nuoc!$C:$W,19,FALSE),0)</f>
        <v>0</v>
      </c>
      <c r="T69" s="60">
        <f>IF(S69&lt;&gt;0,IFERROR(_xlfn.IFNA(VLOOKUP($B69,QuyDoi_DonVi!$C:$S,7,FALSE),0)*100/_xlfn.IFNA(VLOOKUP($B69,SOP_Nuoc!$C:$W,20,FALSE),0),0)-100,0)</f>
        <v>0</v>
      </c>
      <c r="U69" s="60">
        <f>_xlfn.IFNA(VLOOKUP($B69,QuyDoi_DonVi!$C:$S,10,FALSE),0)</f>
        <v>0</v>
      </c>
      <c r="V69" s="60">
        <f>_xlfn.IFNA(VLOOKUP($B69,QuyDoi_DonVi!$C:$S,8,FALSE),0)</f>
        <v>11.5</v>
      </c>
      <c r="W69" s="60">
        <f>_xlfn.IFNA(VLOOKUP($B69,Dulieutho,ChiTiet!S$2,FALSE),0)</f>
        <v>48</v>
      </c>
    </row>
    <row r="70" spans="1:23" ht="15.6">
      <c r="A70" s="10" t="s">
        <v>219</v>
      </c>
      <c r="B70" s="9" t="s">
        <v>229</v>
      </c>
      <c r="C70" s="11" t="s">
        <v>230</v>
      </c>
      <c r="D70" s="62">
        <f>IFERROR(SUM(_xlfn.IFNA(VLOOKUP($B70,Dulieutho,ChiTiet!J$2,FALSE),0),_xlfn.IFNA(VLOOKUP($B70,Dulieutho,ChiTiet!K$2,FALSE),0),_xlfn.IFNA(VLOOKUP($B70,Dulieutho,ChiTiet!AK$2,FALSE),0),_xlfn.IFNA(VLOOKUP($B70,Dulieutho,ChiTiet!AL$2,FALSE),0))*100/_xlfn.IFNA(VLOOKUP($B70,SOP_Banh!$C:$X,7,FALSE),0),0)-100</f>
        <v>2.143757881462804</v>
      </c>
      <c r="E70" s="61">
        <f>IFERROR(_xlfn.IFNA(VLOOKUP($B70,QuyDoi_DonVi!$C:$S,12,FALSE),0)*100/_xlfn.IFNA(VLOOKUP($B70,SOP_Banh!$C:$X,8,FALSE),0),0)-100</f>
        <v>-5.1008303677342752</v>
      </c>
      <c r="F70" s="61">
        <f>IFERROR(_xlfn.IFNA(VLOOKUP($B70,QuyDoi_DonVi!$C:$S,13,FALSE),0)*100/_xlfn.IFNA(VLOOKUP($B70,SOP_Banh!$C:$X,9,FALSE),0),0)-100</f>
        <v>72.215843857634894</v>
      </c>
      <c r="G70" s="63">
        <f>IFERROR(_xlfn.IFNA(VLOOKUP($B70,Dulieutho,ChiTiet!Z$2,FALSE),0)*100/_xlfn.IFNA(VLOOKUP($B70,SOP_Banh!$C:$X,10,FALSE),0),0)-100</f>
        <v>-46.666666666666664</v>
      </c>
      <c r="H70" s="61">
        <f>IFERROR(SUM(_xlfn.IFNA(VLOOKUP($B70,Dulieutho,ChiTiet!AB$2,FALSE),0),_xlfn.IFNA(VLOOKUP($B70,Dulieutho,ChiTiet!AC$2,FALSE),0))*100/_xlfn.IFNA(VLOOKUP($B70,SOP_Banh!$C:$X,20,FALSE),0)-100,0)</f>
        <v>-43.253467843631775</v>
      </c>
      <c r="I70" s="61">
        <f>IFERROR(_xlfn.IFNA(VLOOKUP($B70,Dulieutho,ChiTiet!AF$2,FALSE),0)*100/_xlfn.IFNA(VLOOKUP($B70,SOP_Banh!$C:$X,21,FALSE),0)-100,0)</f>
        <v>-100</v>
      </c>
      <c r="J70" s="61">
        <f>IFERROR(_xlfn.IFNA(VLOOKUP($B70,Dulieutho,ChiTiet!AD$2,FALSE),0)*100/_xlfn.IFNA(VLOOKUP($B70,SOP_Banh!$C:$X,22,FALSE),0)-100,0)</f>
        <v>-35.897435897435898</v>
      </c>
      <c r="K70" s="61">
        <f>IFERROR(_xlfn.IFNA(VLOOKUP($B70,QuyDoi_DonVi!$C:$S,3,FALSE),0)*100/_xlfn.IFNA(VLOOKUP($B70,SOP_Banh!$C:$X,12,FALSE),0),0)-100</f>
        <v>92.307692307692321</v>
      </c>
      <c r="L70" s="61">
        <f>IFERROR(_xlfn.IFNA(VLOOKUP($B70,QuyDoi_DonVi!$C:$S,5,FALSE),0)*100/(_xlfn.IFNA(VLOOKUP($B70,SOP_Banh!$C:$X,13,FALSE),0)*16)-100,0)</f>
        <v>-38.46153846153846</v>
      </c>
      <c r="M70" s="61">
        <f>IFERROR(_xlfn.IFNA(VLOOKUP($B70,QuyDoi_DonVi!$C:$S,4,FALSE),0)*100/_xlfn.IFNA(VLOOKUP($B70,SOP_Banh!$C:$X,14,FALSE),0),0)-100</f>
        <v>-100</v>
      </c>
      <c r="N70" s="61">
        <f>IFERROR(_xlfn.IFNA(VLOOKUP($B70,Dulieutho,ChiTiet!L$2,FALSE),0)*100/_xlfn.IFNA(VLOOKUP($B70,SOP_Banh!$C:$X,15,FALSE),0),0)-100</f>
        <v>10</v>
      </c>
      <c r="O70" s="61">
        <f>IFERROR(_xlfn.IFNA(VLOOKUP($B70,Dulieutho,ChiTiet!AJ$2,FALSE),0)*192*100/_xlfn.IFNA(VLOOKUP($B70,SOP_Banh!$C:$X,16,FALSE),0)-100,0)</f>
        <v>-58.306188925081436</v>
      </c>
      <c r="P70" s="61">
        <f>IFERROR(_xlfn.IFNA(VLOOKUP($B70,Dulieutho,ChiTiet!AG$2,FALSE),0)*100/_xlfn.IFNA(VLOOKUP($B70,SOP_Nuoc!$C:$H,3,FALSE),0)-100,0)</f>
        <v>8.5776330076004399</v>
      </c>
      <c r="Q70" s="63">
        <f>IFERROR(_xlfn.IFNA(VLOOKUP($B70,Dulieutho,ChiTiet!AH$2,FALSE),0)*3600*100/_xlfn.IFNA(VLOOKUP($B70,SOP_Banh!$C:$X,18,FALSE),0)-100,0)</f>
        <v>95.439739413680769</v>
      </c>
      <c r="R70" s="61">
        <f>IFERROR(_xlfn.IFNA(VLOOKUP($B70,QuyDoi_DonVi!$C:$S,17,FALSE),0)*100/_xlfn.IFNA(VLOOKUP($B70,SOP_Banh!$C:$X,19,FALSE),0),0)-100</f>
        <v>8.5776330076004399</v>
      </c>
      <c r="S70" s="60">
        <f>_xlfn.IFNA(VLOOKUP($B70,SOP_Nuoc!$C:$W,19,FALSE),0)</f>
        <v>25</v>
      </c>
      <c r="T70" s="60">
        <f>IF(S70&lt;&gt;0,IFERROR(_xlfn.IFNA(VLOOKUP($B70,QuyDoi_DonVi!$C:$S,7,FALSE),0)*100/_xlfn.IFNA(VLOOKUP($B70,SOP_Nuoc!$C:$W,20,FALSE),0),0)-100,0)</f>
        <v>-56.000000000000007</v>
      </c>
      <c r="U70" s="60">
        <f>_xlfn.IFNA(VLOOKUP($B70,QuyDoi_DonVi!$C:$S,10,FALSE),0)</f>
        <v>12</v>
      </c>
      <c r="V70" s="60">
        <f>_xlfn.IFNA(VLOOKUP($B70,QuyDoi_DonVi!$C:$S,8,FALSE),0)</f>
        <v>8</v>
      </c>
      <c r="W70" s="60">
        <f>_xlfn.IFNA(VLOOKUP($B70,Dulieutho,ChiTiet!S$2,FALSE),0)</f>
        <v>48</v>
      </c>
    </row>
    <row r="71" spans="1:23" ht="15.6">
      <c r="A71" s="10" t="s">
        <v>219</v>
      </c>
      <c r="B71" s="9" t="s">
        <v>231</v>
      </c>
      <c r="C71" s="11" t="s">
        <v>232</v>
      </c>
      <c r="D71" s="62">
        <f>IFERROR(SUM(_xlfn.IFNA(VLOOKUP($B71,Dulieutho,ChiTiet!J$2,FALSE),0),_xlfn.IFNA(VLOOKUP($B71,Dulieutho,ChiTiet!K$2,FALSE),0),_xlfn.IFNA(VLOOKUP($B71,Dulieutho,ChiTiet!AK$2,FALSE),0),_xlfn.IFNA(VLOOKUP($B71,Dulieutho,ChiTiet!AL$2,FALSE),0))*100/_xlfn.IFNA(VLOOKUP($B71,SOP_Banh!$C:$X,7,FALSE),0),0)-100</f>
        <v>17.263843648208464</v>
      </c>
      <c r="E71" s="61">
        <f>IFERROR(_xlfn.IFNA(VLOOKUP($B71,QuyDoi_DonVi!$C:$S,12,FALSE),0)*100/_xlfn.IFNA(VLOOKUP($B71,SOP_Banh!$C:$X,8,FALSE),0),0)-100</f>
        <v>63.934426229508205</v>
      </c>
      <c r="F71" s="61">
        <f>IFERROR(_xlfn.IFNA(VLOOKUP($B71,QuyDoi_DonVi!$C:$S,13,FALSE),0)*100/_xlfn.IFNA(VLOOKUP($B71,SOP_Banh!$C:$X,9,FALSE),0),0)-100</f>
        <v>15.606936416184965</v>
      </c>
      <c r="G71" s="63">
        <f>IFERROR(_xlfn.IFNA(VLOOKUP($B71,Dulieutho,ChiTiet!Z$2,FALSE),0)*100/_xlfn.IFNA(VLOOKUP($B71,SOP_Banh!$C:$X,10,FALSE),0),0)-100</f>
        <v>-31.182795698924735</v>
      </c>
      <c r="H71" s="61">
        <f>IFERROR(SUM(_xlfn.IFNA(VLOOKUP($B71,Dulieutho,ChiTiet!AB$2,FALSE),0),_xlfn.IFNA(VLOOKUP($B71,Dulieutho,ChiTiet!AC$2,FALSE),0))*100/_xlfn.IFNA(VLOOKUP($B71,SOP_Banh!$C:$X,20,FALSE),0)-100,0)</f>
        <v>-10.423452768729646</v>
      </c>
      <c r="I71" s="61">
        <f>IFERROR(_xlfn.IFNA(VLOOKUP($B71,Dulieutho,ChiTiet!AF$2,FALSE),0)*100/_xlfn.IFNA(VLOOKUP($B71,SOP_Banh!$C:$X,21,FALSE),0)-100,0)</f>
        <v>-15.254237288135599</v>
      </c>
      <c r="J71" s="61">
        <f>IFERROR(_xlfn.IFNA(VLOOKUP($B71,Dulieutho,ChiTiet!AD$2,FALSE),0)*100/_xlfn.IFNA(VLOOKUP($B71,SOP_Banh!$C:$X,22,FALSE),0)-100,0)</f>
        <v>-35.897435897435898</v>
      </c>
      <c r="K71" s="61">
        <f>IFERROR(_xlfn.IFNA(VLOOKUP($B71,QuyDoi_DonVi!$C:$S,3,FALSE),0)*100/_xlfn.IFNA(VLOOKUP($B71,SOP_Banh!$C:$X,12,FALSE),0),0)-100</f>
        <v>-100</v>
      </c>
      <c r="L71" s="61">
        <f>IFERROR(_xlfn.IFNA(VLOOKUP($B71,QuyDoi_DonVi!$C:$S,5,FALSE),0)*100/(_xlfn.IFNA(VLOOKUP($B71,SOP_Banh!$C:$X,13,FALSE),0)*16)-100,0)</f>
        <v>23.07692307692308</v>
      </c>
      <c r="M71" s="61">
        <f>IFERROR(_xlfn.IFNA(VLOOKUP($B71,QuyDoi_DonVi!$C:$S,4,FALSE),0)*100/_xlfn.IFNA(VLOOKUP($B71,SOP_Banh!$C:$X,14,FALSE),0),0)-100</f>
        <v>28.205128205128204</v>
      </c>
      <c r="N71" s="61">
        <f>IFERROR(_xlfn.IFNA(VLOOKUP($B71,Dulieutho,ChiTiet!L$2,FALSE),0)*100/_xlfn.IFNA(VLOOKUP($B71,SOP_Banh!$C:$X,15,FALSE),0),0)-100</f>
        <v>-23.728813559322035</v>
      </c>
      <c r="O71" s="61">
        <f>IFERROR(_xlfn.IFNA(VLOOKUP($B71,Dulieutho,ChiTiet!AJ$2,FALSE),0)*192*100/_xlfn.IFNA(VLOOKUP($B71,SOP_Banh!$C:$X,16,FALSE),0)-100,0)</f>
        <v>-40.74074074074074</v>
      </c>
      <c r="P71" s="61">
        <f>IFERROR(_xlfn.IFNA(VLOOKUP($B71,Dulieutho,ChiTiet!AG$2,FALSE),0)*100/_xlfn.IFNA(VLOOKUP($B71,SOP_Nuoc!$C:$H,3,FALSE),0)-100,0)</f>
        <v>23.456790123456784</v>
      </c>
      <c r="Q71" s="63">
        <f>IFERROR(_xlfn.IFNA(VLOOKUP($B71,Dulieutho,ChiTiet!AH$2,FALSE),0)*3600*100/_xlfn.IFNA(VLOOKUP($B71,SOP_Banh!$C:$X,18,FALSE),0)-100,0)</f>
        <v>122.22222222222223</v>
      </c>
      <c r="R71" s="61">
        <f>IFERROR(_xlfn.IFNA(VLOOKUP($B71,QuyDoi_DonVi!$C:$S,17,FALSE),0)*100/_xlfn.IFNA(VLOOKUP($B71,SOP_Banh!$C:$X,19,FALSE),0),0)-100</f>
        <v>23.456790123456784</v>
      </c>
      <c r="S71" s="60">
        <f>_xlfn.IFNA(VLOOKUP($B71,SOP_Nuoc!$C:$W,19,FALSE),0)</f>
        <v>0</v>
      </c>
      <c r="T71" s="60">
        <f>IF(S71&lt;&gt;0,IFERROR(_xlfn.IFNA(VLOOKUP($B71,QuyDoi_DonVi!$C:$S,7,FALSE),0)*100/_xlfn.IFNA(VLOOKUP($B71,SOP_Nuoc!$C:$W,20,FALSE),0),0)-100,0)</f>
        <v>0</v>
      </c>
      <c r="U71" s="60">
        <f>_xlfn.IFNA(VLOOKUP($B71,QuyDoi_DonVi!$C:$S,10,FALSE),0)</f>
        <v>12</v>
      </c>
      <c r="V71" s="60">
        <f>_xlfn.IFNA(VLOOKUP($B71,QuyDoi_DonVi!$C:$S,8,FALSE),0)</f>
        <v>8</v>
      </c>
      <c r="W71" s="60">
        <f>_xlfn.IFNA(VLOOKUP($B71,Dulieutho,ChiTiet!S$2,FALSE),0)</f>
        <v>60</v>
      </c>
    </row>
    <row r="72" spans="1:23" ht="15.6">
      <c r="A72" s="14" t="s">
        <v>219</v>
      </c>
      <c r="B72" s="13" t="s">
        <v>233</v>
      </c>
      <c r="C72" s="15" t="s">
        <v>234</v>
      </c>
      <c r="D72" s="62">
        <f>IFERROR(SUM(_xlfn.IFNA(VLOOKUP($B72,Dulieutho,ChiTiet!J$2,FALSE),0),_xlfn.IFNA(VLOOKUP($B72,Dulieutho,ChiTiet!K$2,FALSE),0),_xlfn.IFNA(VLOOKUP($B72,Dulieutho,ChiTiet!AK$2,FALSE),0),_xlfn.IFNA(VLOOKUP($B72,Dulieutho,ChiTiet!AL$2,FALSE),0))*100/_xlfn.IFNA(VLOOKUP($B72,SOP_Banh!$C:$X,7,FALSE),0),0)-100</f>
        <v>23.24649298597194</v>
      </c>
      <c r="E72" s="61">
        <f>IFERROR(_xlfn.IFNA(VLOOKUP($B72,QuyDoi_DonVi!$C:$S,12,FALSE),0)*100/_xlfn.IFNA(VLOOKUP($B72,SOP_Banh!$C:$X,8,FALSE),0),0)-100</f>
        <v>11.731843575418992</v>
      </c>
      <c r="F72" s="61">
        <f>IFERROR(_xlfn.IFNA(VLOOKUP($B72,QuyDoi_DonVi!$C:$S,13,FALSE),0)*100/_xlfn.IFNA(VLOOKUP($B72,SOP_Banh!$C:$X,9,FALSE),0),0)-100</f>
        <v>-26.873857404021933</v>
      </c>
      <c r="G72" s="63">
        <f>IFERROR(_xlfn.IFNA(VLOOKUP($B72,Dulieutho,ChiTiet!Z$2,FALSE),0)*100/_xlfn.IFNA(VLOOKUP($B72,SOP_Banh!$C:$X,10,FALSE),0),0)-100</f>
        <v>-38.46153846153846</v>
      </c>
      <c r="H72" s="61">
        <f>IFERROR(SUM(_xlfn.IFNA(VLOOKUP($B72,Dulieutho,ChiTiet!AB$2,FALSE),0),_xlfn.IFNA(VLOOKUP($B72,Dulieutho,ChiTiet!AC$2,FALSE),0))*100/_xlfn.IFNA(VLOOKUP($B72,SOP_Banh!$C:$X,20,FALSE),0)-100,0)</f>
        <v>-19.839679358717433</v>
      </c>
      <c r="I72" s="61">
        <f>IFERROR(_xlfn.IFNA(VLOOKUP($B72,Dulieutho,ChiTiet!AF$2,FALSE),0)*100/_xlfn.IFNA(VLOOKUP($B72,SOP_Banh!$C:$X,21,FALSE),0)-100,0)</f>
        <v>426.31578947368416</v>
      </c>
      <c r="J72" s="61">
        <f>IFERROR(_xlfn.IFNA(VLOOKUP($B72,Dulieutho,ChiTiet!AD$2,FALSE),0)*100/_xlfn.IFNA(VLOOKUP($B72,SOP_Banh!$C:$X,22,FALSE),0)-100,0)</f>
        <v>4.1666666666666714</v>
      </c>
      <c r="K72" s="61">
        <f>IFERROR(_xlfn.IFNA(VLOOKUP($B72,QuyDoi_DonVi!$C:$S,3,FALSE),0)*100/_xlfn.IFNA(VLOOKUP($B72,SOP_Banh!$C:$X,12,FALSE),0),0)-100</f>
        <v>-100</v>
      </c>
      <c r="L72" s="61">
        <f>IFERROR(_xlfn.IFNA(VLOOKUP($B72,QuyDoi_DonVi!$C:$S,5,FALSE),0)*100/(_xlfn.IFNA(VLOOKUP($B72,SOP_Banh!$C:$X,13,FALSE),0)*16)-100,0)</f>
        <v>0</v>
      </c>
      <c r="M72" s="61">
        <f>IFERROR(_xlfn.IFNA(VLOOKUP($B72,QuyDoi_DonVi!$C:$S,4,FALSE),0)*100/_xlfn.IFNA(VLOOKUP($B72,SOP_Banh!$C:$X,14,FALSE),0),0)-100</f>
        <v>108.33333333333334</v>
      </c>
      <c r="N72" s="61">
        <f>IFERROR(_xlfn.IFNA(VLOOKUP($B72,Dulieutho,ChiTiet!L$2,FALSE),0)*100/_xlfn.IFNA(VLOOKUP($B72,SOP_Banh!$C:$X,15,FALSE),0),0)-100</f>
        <v>-21.05263157894737</v>
      </c>
      <c r="O72" s="61">
        <f>IFERROR(_xlfn.IFNA(VLOOKUP($B72,Dulieutho,ChiTiet!AJ$2,FALSE),0)*192*100/_xlfn.IFNA(VLOOKUP($B72,SOP_Banh!$C:$X,16,FALSE),0)-100,0)</f>
        <v>96.923076923076934</v>
      </c>
      <c r="P72" s="61">
        <f>IFERROR(_xlfn.IFNA(VLOOKUP($B72,Dulieutho,ChiTiet!AG$2,FALSE),0)*100/_xlfn.IFNA(VLOOKUP($B72,SOP_Nuoc!$C:$H,3,FALSE),0)-100,0)</f>
        <v>156.41025641025641</v>
      </c>
      <c r="Q72" s="63">
        <f>IFERROR(_xlfn.IFNA(VLOOKUP($B72,Dulieutho,ChiTiet!AH$2,FALSE),0)*3600*100/_xlfn.IFNA(VLOOKUP($B72,SOP_Banh!$C:$X,18,FALSE),0)-100,0)</f>
        <v>-100</v>
      </c>
      <c r="R72" s="61">
        <f>IFERROR(_xlfn.IFNA(VLOOKUP($B72,QuyDoi_DonVi!$C:$S,17,FALSE),0)*100/_xlfn.IFNA(VLOOKUP($B72,SOP_Banh!$C:$X,19,FALSE),0),0)-100</f>
        <v>156.41025641025641</v>
      </c>
      <c r="S72" s="60">
        <f>_xlfn.IFNA(VLOOKUP($B72,SOP_Nuoc!$C:$W,19,FALSE),0)</f>
        <v>0</v>
      </c>
      <c r="T72" s="60">
        <f>IF(S72&lt;&gt;0,IFERROR(_xlfn.IFNA(VLOOKUP($B72,QuyDoi_DonVi!$C:$S,7,FALSE),0)*100/_xlfn.IFNA(VLOOKUP($B72,SOP_Nuoc!$C:$W,20,FALSE),0),0)-100,0)</f>
        <v>0</v>
      </c>
      <c r="U72" s="60">
        <f>_xlfn.IFNA(VLOOKUP($B72,QuyDoi_DonVi!$C:$S,10,FALSE),0)</f>
        <v>12</v>
      </c>
      <c r="V72" s="60">
        <f>_xlfn.IFNA(VLOOKUP($B72,QuyDoi_DonVi!$C:$S,8,FALSE),0)</f>
        <v>7</v>
      </c>
      <c r="W72" s="60">
        <f>_xlfn.IFNA(VLOOKUP($B72,Dulieutho,ChiTiet!S$2,FALSE),0)</f>
        <v>36</v>
      </c>
    </row>
    <row r="73" spans="1:23" ht="15.6">
      <c r="A73" s="10" t="s">
        <v>219</v>
      </c>
      <c r="B73" s="9" t="s">
        <v>235</v>
      </c>
      <c r="C73" s="11" t="s">
        <v>236</v>
      </c>
      <c r="D73" s="62">
        <f>IFERROR(SUM(_xlfn.IFNA(VLOOKUP($B73,Dulieutho,ChiTiet!J$2,FALSE),0),_xlfn.IFNA(VLOOKUP($B73,Dulieutho,ChiTiet!K$2,FALSE),0),_xlfn.IFNA(VLOOKUP($B73,Dulieutho,ChiTiet!AK$2,FALSE),0),_xlfn.IFNA(VLOOKUP($B73,Dulieutho,ChiTiet!AL$2,FALSE),0))*100/_xlfn.IFNA(VLOOKUP($B73,SOP_Banh!$C:$X,7,FALSE),0),0)-100</f>
        <v>5.9322033898305051</v>
      </c>
      <c r="E73" s="61">
        <f>IFERROR(_xlfn.IFNA(VLOOKUP($B73,QuyDoi_DonVi!$C:$S,12,FALSE),0)*100/_xlfn.IFNA(VLOOKUP($B73,SOP_Banh!$C:$X,8,FALSE),0),0)-100</f>
        <v>69.491525423728802</v>
      </c>
      <c r="F73" s="61">
        <f>IFERROR(_xlfn.IFNA(VLOOKUP($B73,QuyDoi_DonVi!$C:$S,13,FALSE),0)*100/_xlfn.IFNA(VLOOKUP($B73,SOP_Banh!$C:$X,9,FALSE),0),0)-100</f>
        <v>-25.373134328358205</v>
      </c>
      <c r="G73" s="63">
        <f>IFERROR(_xlfn.IFNA(VLOOKUP($B73,Dulieutho,ChiTiet!Z$2,FALSE),0)*100/_xlfn.IFNA(VLOOKUP($B73,SOP_Banh!$C:$X,10,FALSE),0),0)-100</f>
        <v>113.33333333333334</v>
      </c>
      <c r="H73" s="61">
        <f>IFERROR(SUM(_xlfn.IFNA(VLOOKUP($B73,Dulieutho,ChiTiet!AB$2,FALSE),0),_xlfn.IFNA(VLOOKUP($B73,Dulieutho,ChiTiet!AC$2,FALSE),0))*100/_xlfn.IFNA(VLOOKUP($B73,SOP_Banh!$C:$X,20,FALSE),0)-100,0)</f>
        <v>-78.813559322033896</v>
      </c>
      <c r="I73" s="61">
        <f>IFERROR(_xlfn.IFNA(VLOOKUP($B73,Dulieutho,ChiTiet!AF$2,FALSE),0)*100/_xlfn.IFNA(VLOOKUP($B73,SOP_Banh!$C:$X,21,FALSE),0)-100,0)</f>
        <v>-57.627118644067799</v>
      </c>
      <c r="J73" s="61">
        <f>IFERROR(_xlfn.IFNA(VLOOKUP($B73,Dulieutho,ChiTiet!AD$2,FALSE),0)*100/_xlfn.IFNA(VLOOKUP($B73,SOP_Banh!$C:$X,22,FALSE),0)-100,0)</f>
        <v>4.1666666666666714</v>
      </c>
      <c r="K73" s="61">
        <f>IFERROR(_xlfn.IFNA(VLOOKUP($B73,QuyDoi_DonVi!$C:$S,3,FALSE),0)*100/_xlfn.IFNA(VLOOKUP($B73,SOP_Banh!$C:$X,12,FALSE),0),0)-100</f>
        <v>-100</v>
      </c>
      <c r="L73" s="61">
        <f>IFERROR(_xlfn.IFNA(VLOOKUP($B73,QuyDoi_DonVi!$C:$S,5,FALSE),0)*100/(_xlfn.IFNA(VLOOKUP($B73,SOP_Banh!$C:$X,13,FALSE),0)*16)-100,0)</f>
        <v>-66.666666666666657</v>
      </c>
      <c r="M73" s="61">
        <f>IFERROR(_xlfn.IFNA(VLOOKUP($B73,QuyDoi_DonVi!$C:$S,4,FALSE),0)*100/_xlfn.IFNA(VLOOKUP($B73,SOP_Banh!$C:$X,14,FALSE),0),0)-100</f>
        <v>-100</v>
      </c>
      <c r="N73" s="61">
        <f>IFERROR(_xlfn.IFNA(VLOOKUP($B73,Dulieutho,ChiTiet!L$2,FALSE),0)*100/_xlfn.IFNA(VLOOKUP($B73,SOP_Banh!$C:$X,15,FALSE),0),0)-100</f>
        <v>-40.677966101694913</v>
      </c>
      <c r="O73" s="61">
        <f>IFERROR(_xlfn.IFNA(VLOOKUP($B73,Dulieutho,ChiTiet!AJ$2,FALSE),0)*192*100/_xlfn.IFNA(VLOOKUP($B73,SOP_Banh!$C:$X,16,FALSE),0)-100,0)</f>
        <v>-44.615384615384613</v>
      </c>
      <c r="P73" s="61">
        <f>IFERROR(_xlfn.IFNA(VLOOKUP($B73,Dulieutho,ChiTiet!AG$2,FALSE),0)*100/_xlfn.IFNA(VLOOKUP($B73,SOP_Nuoc!$C:$H,3,FALSE),0)-100,0)</f>
        <v>-3.8461538461538396</v>
      </c>
      <c r="Q73" s="63">
        <f>IFERROR(_xlfn.IFNA(VLOOKUP($B73,Dulieutho,ChiTiet!AH$2,FALSE),0)*3600*100/_xlfn.IFNA(VLOOKUP($B73,SOP_Banh!$C:$X,18,FALSE),0)-100,0)</f>
        <v>-100</v>
      </c>
      <c r="R73" s="61">
        <f>IFERROR(_xlfn.IFNA(VLOOKUP($B73,QuyDoi_DonVi!$C:$S,17,FALSE),0)*100/_xlfn.IFNA(VLOOKUP($B73,SOP_Banh!$C:$X,19,FALSE),0),0)-100</f>
        <v>-3.8461538461538396</v>
      </c>
      <c r="S73" s="60">
        <f>_xlfn.IFNA(VLOOKUP($B73,SOP_Nuoc!$C:$W,19,FALSE),0)</f>
        <v>25</v>
      </c>
      <c r="T73" s="60">
        <f>IF(S73&lt;&gt;0,IFERROR(_xlfn.IFNA(VLOOKUP($B73,QuyDoi_DonVi!$C:$S,7,FALSE),0)*100/_xlfn.IFNA(VLOOKUP($B73,SOP_Nuoc!$C:$W,20,FALSE),0),0)-100,0)</f>
        <v>-34</v>
      </c>
      <c r="U73" s="60">
        <f>_xlfn.IFNA(VLOOKUP($B73,QuyDoi_DonVi!$C:$S,10,FALSE),0)</f>
        <v>0</v>
      </c>
      <c r="V73" s="60">
        <f>_xlfn.IFNA(VLOOKUP($B73,QuyDoi_DonVi!$C:$S,8,FALSE),0)</f>
        <v>2</v>
      </c>
      <c r="W73" s="60">
        <f>_xlfn.IFNA(VLOOKUP($B73,Dulieutho,ChiTiet!S$2,FALSE),0)</f>
        <v>12</v>
      </c>
    </row>
    <row r="74" spans="1:23" ht="15.6">
      <c r="A74" s="10" t="s">
        <v>219</v>
      </c>
      <c r="B74" s="9" t="s">
        <v>237</v>
      </c>
      <c r="C74" s="11" t="s">
        <v>238</v>
      </c>
      <c r="D74" s="62">
        <f>IFERROR(SUM(_xlfn.IFNA(VLOOKUP($B74,Dulieutho,ChiTiet!J$2,FALSE),0),_xlfn.IFNA(VLOOKUP($B74,Dulieutho,ChiTiet!K$2,FALSE),0),_xlfn.IFNA(VLOOKUP($B74,Dulieutho,ChiTiet!AK$2,FALSE),0),_xlfn.IFNA(VLOOKUP($B74,Dulieutho,ChiTiet!AL$2,FALSE),0))*100/_xlfn.IFNA(VLOOKUP($B74,SOP_Banh!$C:$X,7,FALSE),0),0)-100</f>
        <v>3.053435114503813</v>
      </c>
      <c r="E74" s="61">
        <f>IFERROR(_xlfn.IFNA(VLOOKUP($B74,QuyDoi_DonVi!$C:$S,12,FALSE),0)*100/_xlfn.IFNA(VLOOKUP($B74,SOP_Banh!$C:$X,8,FALSE),0),0)-100</f>
        <v>66.435506241331495</v>
      </c>
      <c r="F74" s="61">
        <f>IFERROR(_xlfn.IFNA(VLOOKUP($B74,QuyDoi_DonVi!$C:$S,13,FALSE),0)*100/_xlfn.IFNA(VLOOKUP($B74,SOP_Banh!$C:$X,9,FALSE),0),0)-100</f>
        <v>-45.429740791268756</v>
      </c>
      <c r="G74" s="63">
        <f>IFERROR(_xlfn.IFNA(VLOOKUP($B74,Dulieutho,ChiTiet!Z$2,FALSE),0)*100/_xlfn.IFNA(VLOOKUP($B74,SOP_Banh!$C:$X,10,FALSE),0),0)-100</f>
        <v>113.33333333333334</v>
      </c>
      <c r="H74" s="61">
        <f>IFERROR(SUM(_xlfn.IFNA(VLOOKUP($B74,Dulieutho,ChiTiet!AB$2,FALSE),0),_xlfn.IFNA(VLOOKUP($B74,Dulieutho,ChiTiet!AC$2,FALSE),0))*100/_xlfn.IFNA(VLOOKUP($B74,SOP_Banh!$C:$X,20,FALSE),0)-100,0)</f>
        <v>-54.198473282442748</v>
      </c>
      <c r="I74" s="61">
        <f>IFERROR(_xlfn.IFNA(VLOOKUP($B74,Dulieutho,ChiTiet!AF$2,FALSE),0)*100/_xlfn.IFNA(VLOOKUP($B74,SOP_Banh!$C:$X,21,FALSE),0)-100,0)</f>
        <v>-24.242424242424249</v>
      </c>
      <c r="J74" s="61">
        <f>IFERROR(_xlfn.IFNA(VLOOKUP($B74,Dulieutho,ChiTiet!AD$2,FALSE),0)*100/_xlfn.IFNA(VLOOKUP($B74,SOP_Banh!$C:$X,22,FALSE),0)-100,0)</f>
        <v>92.307692307692321</v>
      </c>
      <c r="K74" s="61">
        <f>IFERROR(_xlfn.IFNA(VLOOKUP($B74,QuyDoi_DonVi!$C:$S,3,FALSE),0)*100/_xlfn.IFNA(VLOOKUP($B74,SOP_Banh!$C:$X,12,FALSE),0),0)-100</f>
        <v>-100</v>
      </c>
      <c r="L74" s="61">
        <f>IFERROR(_xlfn.IFNA(VLOOKUP($B74,QuyDoi_DonVi!$C:$S,5,FALSE),0)*100/(_xlfn.IFNA(VLOOKUP($B74,SOP_Banh!$C:$X,13,FALSE),0)*16)-100,0)</f>
        <v>-17.948717948717942</v>
      </c>
      <c r="M74" s="61">
        <f>IFERROR(_xlfn.IFNA(VLOOKUP($B74,QuyDoi_DonVi!$C:$S,4,FALSE),0)*100/_xlfn.IFNA(VLOOKUP($B74,SOP_Banh!$C:$X,14,FALSE),0),0)-100</f>
        <v>156.41025641025641</v>
      </c>
      <c r="N74" s="61">
        <f>IFERROR(_xlfn.IFNA(VLOOKUP($B74,Dulieutho,ChiTiet!L$2,FALSE),0)*100/_xlfn.IFNA(VLOOKUP($B74,SOP_Banh!$C:$X,15,FALSE),0),0)-100</f>
        <v>-16.666666666666671</v>
      </c>
      <c r="O74" s="61">
        <f>IFERROR(_xlfn.IFNA(VLOOKUP($B74,Dulieutho,ChiTiet!AJ$2,FALSE),0)*192*100/_xlfn.IFNA(VLOOKUP($B74,SOP_Banh!$C:$X,16,FALSE),0)-100,0)</f>
        <v>-27.909887359199004</v>
      </c>
      <c r="P74" s="61">
        <f>IFERROR(_xlfn.IFNA(VLOOKUP($B74,Dulieutho,ChiTiet!AG$2,FALSE),0)*100/_xlfn.IFNA(VLOOKUP($B74,SOP_Nuoc!$C:$H,3,FALSE),0)-100,0)</f>
        <v>-37.421777221526909</v>
      </c>
      <c r="Q74" s="63">
        <f>IFERROR(_xlfn.IFNA(VLOOKUP($B74,Dulieutho,ChiTiet!AH$2,FALSE),0)*3600*100/_xlfn.IFNA(VLOOKUP($B74,SOP_Banh!$C:$X,18,FALSE),0)-100,0)</f>
        <v>-100</v>
      </c>
      <c r="R74" s="61">
        <f>IFERROR(_xlfn.IFNA(VLOOKUP($B74,QuyDoi_DonVi!$C:$S,17,FALSE),0)*100/_xlfn.IFNA(VLOOKUP($B74,SOP_Banh!$C:$X,19,FALSE),0),0)-100</f>
        <v>-37.421777221526909</v>
      </c>
      <c r="S74" s="60">
        <f>_xlfn.IFNA(VLOOKUP($B74,SOP_Nuoc!$C:$W,19,FALSE),0)</f>
        <v>25</v>
      </c>
      <c r="T74" s="60">
        <f>IF(S74&lt;&gt;0,IFERROR(_xlfn.IFNA(VLOOKUP($B74,QuyDoi_DonVi!$C:$S,7,FALSE),0)*100/_xlfn.IFNA(VLOOKUP($B74,SOP_Nuoc!$C:$W,20,FALSE),0),0)-100,0)</f>
        <v>-78</v>
      </c>
      <c r="U74" s="60">
        <f>_xlfn.IFNA(VLOOKUP($B74,QuyDoi_DonVi!$C:$S,10,FALSE),0)</f>
        <v>0</v>
      </c>
      <c r="V74" s="60">
        <f>_xlfn.IFNA(VLOOKUP($B74,QuyDoi_DonVi!$C:$S,8,FALSE),0)</f>
        <v>11</v>
      </c>
      <c r="W74" s="60">
        <f>_xlfn.IFNA(VLOOKUP($B74,Dulieutho,ChiTiet!S$2,FALSE),0)</f>
        <v>72</v>
      </c>
    </row>
    <row r="75" spans="1:23" ht="15.6">
      <c r="A75" s="10" t="s">
        <v>219</v>
      </c>
      <c r="B75" s="9" t="s">
        <v>239</v>
      </c>
      <c r="C75" s="11" t="s">
        <v>240</v>
      </c>
      <c r="D75" s="62">
        <f>IFERROR(SUM(_xlfn.IFNA(VLOOKUP($B75,Dulieutho,ChiTiet!J$2,FALSE),0),_xlfn.IFNA(VLOOKUP($B75,Dulieutho,ChiTiet!K$2,FALSE),0),_xlfn.IFNA(VLOOKUP($B75,Dulieutho,ChiTiet!AK$2,FALSE),0),_xlfn.IFNA(VLOOKUP($B75,Dulieutho,ChiTiet!AL$2,FALSE),0))*100/_xlfn.IFNA(VLOOKUP($B75,SOP_Banh!$C:$X,7,FALSE),0),0)-100</f>
        <v>18.681318681318686</v>
      </c>
      <c r="E75" s="61">
        <f>IFERROR(_xlfn.IFNA(VLOOKUP($B75,QuyDoi_DonVi!$C:$S,12,FALSE),0)*100/_xlfn.IFNA(VLOOKUP($B75,SOP_Banh!$C:$X,8,FALSE),0),0)-100</f>
        <v>100.40080160320642</v>
      </c>
      <c r="F75" s="61">
        <f>IFERROR(_xlfn.IFNA(VLOOKUP($B75,QuyDoi_DonVi!$C:$S,13,FALSE),0)*100/_xlfn.IFNA(VLOOKUP($B75,SOP_Banh!$C:$X,9,FALSE),0),0)-100</f>
        <v>6.7961165048543677</v>
      </c>
      <c r="G75" s="63">
        <f>IFERROR(_xlfn.IFNA(VLOOKUP($B75,Dulieutho,ChiTiet!Z$2,FALSE),0)*100/_xlfn.IFNA(VLOOKUP($B75,SOP_Banh!$C:$X,10,FALSE),0),0)-100</f>
        <v>27.536231884057969</v>
      </c>
      <c r="H75" s="61">
        <f>IFERROR(SUM(_xlfn.IFNA(VLOOKUP($B75,Dulieutho,ChiTiet!AB$2,FALSE),0),_xlfn.IFNA(VLOOKUP($B75,Dulieutho,ChiTiet!AC$2,FALSE),0))*100/_xlfn.IFNA(VLOOKUP($B75,SOP_Banh!$C:$X,20,FALSE),0)-100,0)</f>
        <v>-31.318681318681314</v>
      </c>
      <c r="I75" s="61">
        <f>IFERROR(_xlfn.IFNA(VLOOKUP($B75,Dulieutho,ChiTiet!AF$2,FALSE),0)*100/_xlfn.IFNA(VLOOKUP($B75,SOP_Banh!$C:$X,21,FALSE),0)-100,0)</f>
        <v>70.454545454545467</v>
      </c>
      <c r="J75" s="61">
        <f>IFERROR(_xlfn.IFNA(VLOOKUP($B75,Dulieutho,ChiTiet!AD$2,FALSE),0)*100/_xlfn.IFNA(VLOOKUP($B75,SOP_Banh!$C:$X,22,FALSE),0)-100,0)</f>
        <v>25</v>
      </c>
      <c r="K75" s="61">
        <f>IFERROR(_xlfn.IFNA(VLOOKUP($B75,QuyDoi_DonVi!$C:$S,3,FALSE),0)*100/_xlfn.IFNA(VLOOKUP($B75,SOP_Banh!$C:$X,12,FALSE),0),0)-100</f>
        <v>25</v>
      </c>
      <c r="L75" s="61">
        <f>IFERROR(_xlfn.IFNA(VLOOKUP($B75,QuyDoi_DonVi!$C:$S,5,FALSE),0)*100/(_xlfn.IFNA(VLOOKUP($B75,SOP_Banh!$C:$X,13,FALSE),0)*16)-100,0)</f>
        <v>6.6666666666666714</v>
      </c>
      <c r="M75" s="61">
        <f>IFERROR(_xlfn.IFNA(VLOOKUP($B75,QuyDoi_DonVi!$C:$S,4,FALSE),0)*100/_xlfn.IFNA(VLOOKUP($B75,SOP_Banh!$C:$X,14,FALSE),0),0)-100</f>
        <v>-16.666666666666671</v>
      </c>
      <c r="N75" s="61">
        <f>IFERROR(_xlfn.IFNA(VLOOKUP($B75,Dulieutho,ChiTiet!L$2,FALSE),0)*100/_xlfn.IFNA(VLOOKUP($B75,SOP_Banh!$C:$X,15,FALSE),0),0)-100</f>
        <v>-9.0909090909090935</v>
      </c>
      <c r="O75" s="61">
        <f>IFERROR(_xlfn.IFNA(VLOOKUP($B75,Dulieutho,ChiTiet!AJ$2,FALSE),0)*192*100/_xlfn.IFNA(VLOOKUP($B75,SOP_Banh!$C:$X,16,FALSE),0)-100,0)</f>
        <v>-14.132379248658324</v>
      </c>
      <c r="P75" s="61">
        <f>IFERROR(_xlfn.IFNA(VLOOKUP($B75,Dulieutho,ChiTiet!AG$2,FALSE),0)*100/_xlfn.IFNA(VLOOKUP($B75,SOP_Nuoc!$C:$H,3,FALSE),0)-100,0)</f>
        <v>34.168157423971365</v>
      </c>
      <c r="Q75" s="63">
        <f>IFERROR(_xlfn.IFNA(VLOOKUP($B75,Dulieutho,ChiTiet!AH$2,FALSE),0)*3600*100/_xlfn.IFNA(VLOOKUP($B75,SOP_Banh!$C:$X,18,FALSE),0)-100,0)</f>
        <v>61.001788908765661</v>
      </c>
      <c r="R75" s="61">
        <f>IFERROR(_xlfn.IFNA(VLOOKUP($B75,QuyDoi_DonVi!$C:$S,17,FALSE),0)*100/_xlfn.IFNA(VLOOKUP($B75,SOP_Banh!$C:$X,19,FALSE),0),0)-100</f>
        <v>34.168157423971365</v>
      </c>
      <c r="S75" s="60">
        <f>_xlfn.IFNA(VLOOKUP($B75,SOP_Nuoc!$C:$W,19,FALSE),0)</f>
        <v>75</v>
      </c>
      <c r="T75" s="60">
        <f>IF(S75&lt;&gt;0,IFERROR(_xlfn.IFNA(VLOOKUP($B75,QuyDoi_DonVi!$C:$S,7,FALSE),0)*100/_xlfn.IFNA(VLOOKUP($B75,SOP_Nuoc!$C:$W,20,FALSE),0),0)-100,0)</f>
        <v>-78</v>
      </c>
      <c r="U75" s="60">
        <f>_xlfn.IFNA(VLOOKUP($B75,QuyDoi_DonVi!$C:$S,10,FALSE),0)</f>
        <v>24</v>
      </c>
      <c r="V75" s="60">
        <f>_xlfn.IFNA(VLOOKUP($B75,QuyDoi_DonVi!$C:$S,8,FALSE),0)</f>
        <v>26</v>
      </c>
      <c r="W75" s="60">
        <f>_xlfn.IFNA(VLOOKUP($B75,Dulieutho,ChiTiet!S$2,FALSE),0)</f>
        <v>108</v>
      </c>
    </row>
    <row r="76" spans="1:23" ht="15.6">
      <c r="A76" s="10" t="s">
        <v>219</v>
      </c>
      <c r="B76" s="9" t="s">
        <v>241</v>
      </c>
      <c r="C76" s="11" t="s">
        <v>242</v>
      </c>
      <c r="D76" s="62">
        <f>IFERROR(SUM(_xlfn.IFNA(VLOOKUP($B76,Dulieutho,ChiTiet!J$2,FALSE),0),_xlfn.IFNA(VLOOKUP($B76,Dulieutho,ChiTiet!K$2,FALSE),0),_xlfn.IFNA(VLOOKUP($B76,Dulieutho,ChiTiet!AK$2,FALSE),0),_xlfn.IFNA(VLOOKUP($B76,Dulieutho,ChiTiet!AL$2,FALSE),0))*100/_xlfn.IFNA(VLOOKUP($B76,SOP_Banh!$C:$X,7,FALSE),0),0)-100</f>
        <v>-20.466595970307523</v>
      </c>
      <c r="E76" s="61">
        <f>IFERROR(_xlfn.IFNA(VLOOKUP($B76,QuyDoi_DonVi!$C:$S,12,FALSE),0)*100/_xlfn.IFNA(VLOOKUP($B76,SOP_Banh!$C:$X,8,FALSE),0),0)-100</f>
        <v>17.073170731707322</v>
      </c>
      <c r="F76" s="61">
        <f>IFERROR(_xlfn.IFNA(VLOOKUP($B76,QuyDoi_DonVi!$C:$S,13,FALSE),0)*100/_xlfn.IFNA(VLOOKUP($B76,SOP_Banh!$C:$X,9,FALSE),0),0)-100</f>
        <v>-51.028403525954943</v>
      </c>
      <c r="G76" s="63">
        <f>IFERROR(_xlfn.IFNA(VLOOKUP($B76,Dulieutho,ChiTiet!Z$2,FALSE),0)*100/_xlfn.IFNA(VLOOKUP($B76,SOP_Banh!$C:$X,10,FALSE),0),0)-100</f>
        <v>-73.983739837398375</v>
      </c>
      <c r="H76" s="61">
        <f>IFERROR(SUM(_xlfn.IFNA(VLOOKUP($B76,Dulieutho,ChiTiet!AB$2,FALSE),0),_xlfn.IFNA(VLOOKUP($B76,Dulieutho,ChiTiet!AC$2,FALSE),0))*100/_xlfn.IFNA(VLOOKUP($B76,SOP_Banh!$C:$X,20,FALSE),0)-100,0)</f>
        <v>-41.675503711558854</v>
      </c>
      <c r="I76" s="61">
        <f>IFERROR(_xlfn.IFNA(VLOOKUP($B76,Dulieutho,ChiTiet!AF$2,FALSE),0)*100/_xlfn.IFNA(VLOOKUP($B76,SOP_Banh!$C:$X,21,FALSE),0)-100,0)</f>
        <v>-39.024390243902438</v>
      </c>
      <c r="J76" s="61">
        <f>IFERROR(_xlfn.IFNA(VLOOKUP($B76,Dulieutho,ChiTiet!AD$2,FALSE),0)*100/_xlfn.IFNA(VLOOKUP($B76,SOP_Banh!$C:$X,22,FALSE),0)-100,0)</f>
        <v>-35.897435897435898</v>
      </c>
      <c r="K76" s="61">
        <f>IFERROR(_xlfn.IFNA(VLOOKUP($B76,QuyDoi_DonVi!$C:$S,3,FALSE),0)*100/_xlfn.IFNA(VLOOKUP($B76,SOP_Banh!$C:$X,12,FALSE),0),0)-100</f>
        <v>-100</v>
      </c>
      <c r="L76" s="61">
        <f>IFERROR(_xlfn.IFNA(VLOOKUP($B76,QuyDoi_DonVi!$C:$S,5,FALSE),0)*100/(_xlfn.IFNA(VLOOKUP($B76,SOP_Banh!$C:$X,13,FALSE),0)*16)-100,0)</f>
        <v>-79.487179487179489</v>
      </c>
      <c r="M76" s="61">
        <f>IFERROR(_xlfn.IFNA(VLOOKUP($B76,QuyDoi_DonVi!$C:$S,4,FALSE),0)*100/_xlfn.IFNA(VLOOKUP($B76,SOP_Banh!$C:$X,14,FALSE),0),0)-100</f>
        <v>28.205128205128204</v>
      </c>
      <c r="N76" s="61">
        <f>IFERROR(_xlfn.IFNA(VLOOKUP($B76,Dulieutho,ChiTiet!L$2,FALSE),0)*100/_xlfn.IFNA(VLOOKUP($B76,SOP_Banh!$C:$X,15,FALSE),0),0)-100</f>
        <v>-2.4390243902439011</v>
      </c>
      <c r="O76" s="61">
        <f>IFERROR(_xlfn.IFNA(VLOOKUP($B76,Dulieutho,ChiTiet!AJ$2,FALSE),0)*192*100/_xlfn.IFNA(VLOOKUP($B76,SOP_Banh!$C:$X,16,FALSE),0)-100,0)</f>
        <v>-30.371713508612871</v>
      </c>
      <c r="P76" s="61">
        <f>IFERROR(_xlfn.IFNA(VLOOKUP($B76,Dulieutho,ChiTiet!AG$2,FALSE),0)*100/_xlfn.IFNA(VLOOKUP($B76,SOP_Nuoc!$C:$H,3,FALSE),0)-100,0)</f>
        <v>-9.3381686310063401</v>
      </c>
      <c r="Q76" s="63">
        <f>IFERROR(_xlfn.IFNA(VLOOKUP($B76,Dulieutho,ChiTiet!AH$2,FALSE),0)*3600*100/_xlfn.IFNA(VLOOKUP($B76,SOP_Banh!$C:$X,18,FALSE),0)-100,0)</f>
        <v>-100</v>
      </c>
      <c r="R76" s="61">
        <f>IFERROR(_xlfn.IFNA(VLOOKUP($B76,QuyDoi_DonVi!$C:$S,17,FALSE),0)*100/_xlfn.IFNA(VLOOKUP($B76,SOP_Banh!$C:$X,19,FALSE),0),0)-100</f>
        <v>-54.66908431550317</v>
      </c>
      <c r="S76" s="60">
        <f>_xlfn.IFNA(VLOOKUP($B76,SOP_Nuoc!$C:$W,19,FALSE),0)</f>
        <v>25</v>
      </c>
      <c r="T76" s="60">
        <f>IF(S76&lt;&gt;0,IFERROR(_xlfn.IFNA(VLOOKUP($B76,QuyDoi_DonVi!$C:$S,7,FALSE),0)*100/_xlfn.IFNA(VLOOKUP($B76,SOP_Nuoc!$C:$W,20,FALSE),0),0)-100,0)</f>
        <v>-12.000000000000014</v>
      </c>
      <c r="U76" s="60">
        <f>_xlfn.IFNA(VLOOKUP($B76,QuyDoi_DonVi!$C:$S,10,FALSE),0)</f>
        <v>24</v>
      </c>
      <c r="V76" s="60">
        <f>_xlfn.IFNA(VLOOKUP($B76,QuyDoi_DonVi!$C:$S,8,FALSE),0)</f>
        <v>11</v>
      </c>
      <c r="W76" s="60">
        <f>_xlfn.IFNA(VLOOKUP($B76,Dulieutho,ChiTiet!S$2,FALSE),0)</f>
        <v>24</v>
      </c>
    </row>
    <row r="77" spans="1:23" ht="15.6">
      <c r="A77" s="10" t="s">
        <v>219</v>
      </c>
      <c r="B77" s="9" t="s">
        <v>243</v>
      </c>
      <c r="C77" s="11" t="s">
        <v>244</v>
      </c>
      <c r="D77" s="62">
        <f>IFERROR(SUM(_xlfn.IFNA(VLOOKUP($B77,Dulieutho,ChiTiet!J$2,FALSE),0),_xlfn.IFNA(VLOOKUP($B77,Dulieutho,ChiTiet!K$2,FALSE),0),_xlfn.IFNA(VLOOKUP($B77,Dulieutho,ChiTiet!AK$2,FALSE),0),_xlfn.IFNA(VLOOKUP($B77,Dulieutho,ChiTiet!AL$2,FALSE),0))*100/_xlfn.IFNA(VLOOKUP($B77,SOP_Banh!$C:$X,7,FALSE),0),0)-100</f>
        <v>-2.9062087186261607</v>
      </c>
      <c r="E77" s="61">
        <f>IFERROR(_xlfn.IFNA(VLOOKUP($B77,QuyDoi_DonVi!$C:$S,12,FALSE),0)*100/_xlfn.IFNA(VLOOKUP($B77,SOP_Banh!$C:$X,8,FALSE),0),0)-100</f>
        <v>-75.698663426488451</v>
      </c>
      <c r="F77" s="61">
        <f>IFERROR(_xlfn.IFNA(VLOOKUP($B77,QuyDoi_DonVi!$C:$S,13,FALSE),0)*100/_xlfn.IFNA(VLOOKUP($B77,SOP_Banh!$C:$X,9,FALSE),0),0)-100</f>
        <v>12.64080100125156</v>
      </c>
      <c r="G77" s="63">
        <f>IFERROR(_xlfn.IFNA(VLOOKUP($B77,Dulieutho,ChiTiet!Z$2,FALSE),0)*100/_xlfn.IFNA(VLOOKUP($B77,SOP_Banh!$C:$X,10,FALSE),0),0)-100</f>
        <v>-48.387096774193552</v>
      </c>
      <c r="H77" s="61">
        <f>IFERROR(SUM(_xlfn.IFNA(VLOOKUP($B77,Dulieutho,ChiTiet!AB$2,FALSE),0),_xlfn.IFNA(VLOOKUP($B77,Dulieutho,ChiTiet!AC$2,FALSE),0))*100/_xlfn.IFNA(VLOOKUP($B77,SOP_Banh!$C:$X,20,FALSE),0)-100,0)</f>
        <v>-37.252311756935271</v>
      </c>
      <c r="I77" s="61">
        <f>IFERROR(_xlfn.IFNA(VLOOKUP($B77,Dulieutho,ChiTiet!AF$2,FALSE),0)*100/_xlfn.IFNA(VLOOKUP($B77,SOP_Banh!$C:$X,21,FALSE),0)-100,0)</f>
        <v>-24.242424242424249</v>
      </c>
      <c r="J77" s="61">
        <f>IFERROR(_xlfn.IFNA(VLOOKUP($B77,Dulieutho,ChiTiet!AD$2,FALSE),0)*100/_xlfn.IFNA(VLOOKUP($B77,SOP_Banh!$C:$X,22,FALSE),0)-100,0)</f>
        <v>19.047619047619051</v>
      </c>
      <c r="K77" s="61">
        <f>IFERROR(_xlfn.IFNA(VLOOKUP($B77,QuyDoi_DonVi!$C:$S,3,FALSE),0)*100/_xlfn.IFNA(VLOOKUP($B77,SOP_Banh!$C:$X,12,FALSE),0),0)-100</f>
        <v>-100</v>
      </c>
      <c r="L77" s="61">
        <f>IFERROR(_xlfn.IFNA(VLOOKUP($B77,QuyDoi_DonVi!$C:$S,5,FALSE),0)*100/(_xlfn.IFNA(VLOOKUP($B77,SOP_Banh!$C:$X,13,FALSE),0)*16)-100,0)</f>
        <v>-61.904761904761905</v>
      </c>
      <c r="M77" s="61">
        <f>IFERROR(_xlfn.IFNA(VLOOKUP($B77,QuyDoi_DonVi!$C:$S,4,FALSE),0)*100/_xlfn.IFNA(VLOOKUP($B77,SOP_Banh!$C:$X,14,FALSE),0),0)-100</f>
        <v>-100</v>
      </c>
      <c r="N77" s="61">
        <f>IFERROR(_xlfn.IFNA(VLOOKUP($B77,Dulieutho,ChiTiet!L$2,FALSE),0)*100/_xlfn.IFNA(VLOOKUP($B77,SOP_Banh!$C:$X,15,FALSE),0),0)-100</f>
        <v>-16.666666666666671</v>
      </c>
      <c r="O77" s="61">
        <f>IFERROR(_xlfn.IFNA(VLOOKUP($B77,Dulieutho,ChiTiet!AJ$2,FALSE),0)*192*100/_xlfn.IFNA(VLOOKUP($B77,SOP_Banh!$C:$X,16,FALSE),0)-100,0)</f>
        <v>-22.312138728323703</v>
      </c>
      <c r="P77" s="61">
        <f>IFERROR(_xlfn.IFNA(VLOOKUP($B77,Dulieutho,ChiTiet!AG$2,FALSE),0)*100/_xlfn.IFNA(VLOOKUP($B77,SOP_Nuoc!$C:$H,3,FALSE),0)-100,0)</f>
        <v>-42.196531791907518</v>
      </c>
      <c r="Q77" s="63">
        <f>IFERROR(_xlfn.IFNA(VLOOKUP($B77,Dulieutho,ChiTiet!AH$2,FALSE),0)*3600*100/_xlfn.IFNA(VLOOKUP($B77,SOP_Banh!$C:$X,18,FALSE),0)-100,0)</f>
        <v>-100</v>
      </c>
      <c r="R77" s="61">
        <f>IFERROR(_xlfn.IFNA(VLOOKUP($B77,QuyDoi_DonVi!$C:$S,17,FALSE),0)*100/_xlfn.IFNA(VLOOKUP($B77,SOP_Banh!$C:$X,19,FALSE),0),0)-100</f>
        <v>-42.196531791907518</v>
      </c>
      <c r="S77" s="60">
        <f>_xlfn.IFNA(VLOOKUP($B77,SOP_Nuoc!$C:$W,19,FALSE),0)</f>
        <v>0</v>
      </c>
      <c r="T77" s="60">
        <f>IF(S77&lt;&gt;0,IFERROR(_xlfn.IFNA(VLOOKUP($B77,QuyDoi_DonVi!$C:$S,7,FALSE),0)*100/_xlfn.IFNA(VLOOKUP($B77,SOP_Nuoc!$C:$W,20,FALSE),0),0)-100,0)</f>
        <v>0</v>
      </c>
      <c r="U77" s="60">
        <f>_xlfn.IFNA(VLOOKUP($B77,QuyDoi_DonVi!$C:$S,10,FALSE),0)</f>
        <v>0</v>
      </c>
      <c r="V77" s="60">
        <f>_xlfn.IFNA(VLOOKUP($B77,QuyDoi_DonVi!$C:$S,8,FALSE),0)</f>
        <v>10</v>
      </c>
      <c r="W77" s="60">
        <f>_xlfn.IFNA(VLOOKUP($B77,Dulieutho,ChiTiet!S$2,FALSE),0)</f>
        <v>0</v>
      </c>
    </row>
    <row r="78" spans="1:23" ht="15.6">
      <c r="A78" s="10" t="s">
        <v>219</v>
      </c>
      <c r="B78" s="9" t="s">
        <v>245</v>
      </c>
      <c r="C78" s="11" t="s">
        <v>246</v>
      </c>
      <c r="D78" s="62">
        <f>IFERROR(SUM(_xlfn.IFNA(VLOOKUP($B78,Dulieutho,ChiTiet!J$2,FALSE),0),_xlfn.IFNA(VLOOKUP($B78,Dulieutho,ChiTiet!K$2,FALSE),0),_xlfn.IFNA(VLOOKUP($B78,Dulieutho,ChiTiet!AK$2,FALSE),0),_xlfn.IFNA(VLOOKUP($B78,Dulieutho,ChiTiet!AL$2,FALSE),0))*100/_xlfn.IFNA(VLOOKUP($B78,SOP_Banh!$C:$X,7,FALSE),0),0)-100</f>
        <v>-11.764705882352942</v>
      </c>
      <c r="E78" s="61">
        <f>IFERROR(_xlfn.IFNA(VLOOKUP($B78,QuyDoi_DonVi!$C:$S,12,FALSE),0)*100/_xlfn.IFNA(VLOOKUP($B78,SOP_Banh!$C:$X,8,FALSE),0),0)-100</f>
        <v>181.6901408450704</v>
      </c>
      <c r="F78" s="61">
        <f>IFERROR(_xlfn.IFNA(VLOOKUP($B78,QuyDoi_DonVi!$C:$S,13,FALSE),0)*100/_xlfn.IFNA(VLOOKUP($B78,SOP_Banh!$C:$X,9,FALSE),0),0)-100</f>
        <v>42.180094786729853</v>
      </c>
      <c r="G78" s="63">
        <f>IFERROR(_xlfn.IFNA(VLOOKUP($B78,Dulieutho,ChiTiet!Z$2,FALSE),0)*100/_xlfn.IFNA(VLOOKUP($B78,SOP_Banh!$C:$X,10,FALSE),0),0)-100</f>
        <v>966.66666666666674</v>
      </c>
      <c r="H78" s="61">
        <f>IFERROR(SUM(_xlfn.IFNA(VLOOKUP($B78,Dulieutho,ChiTiet!AB$2,FALSE),0),_xlfn.IFNA(VLOOKUP($B78,Dulieutho,ChiTiet!AC$2,FALSE),0))*100/_xlfn.IFNA(VLOOKUP($B78,SOP_Banh!$C:$X,20,FALSE),0)-100,0)</f>
        <v>-100</v>
      </c>
      <c r="I78" s="61">
        <f>IFERROR(_xlfn.IFNA(VLOOKUP($B78,Dulieutho,ChiTiet!AF$2,FALSE),0)*100/_xlfn.IFNA(VLOOKUP($B78,SOP_Banh!$C:$X,21,FALSE),0)-100,0)</f>
        <v>-100</v>
      </c>
      <c r="J78" s="61">
        <f>IFERROR(_xlfn.IFNA(VLOOKUP($B78,Dulieutho,ChiTiet!AD$2,FALSE),0)*100/_xlfn.IFNA(VLOOKUP($B78,SOP_Banh!$C:$X,22,FALSE),0)-100,0)</f>
        <v>108.33333333333334</v>
      </c>
      <c r="K78" s="61">
        <f>IFERROR(_xlfn.IFNA(VLOOKUP($B78,QuyDoi_DonVi!$C:$S,3,FALSE),0)*100/_xlfn.IFNA(VLOOKUP($B78,SOP_Banh!$C:$X,12,FALSE),0),0)-100</f>
        <v>-100</v>
      </c>
      <c r="L78" s="61">
        <f>IFERROR(_xlfn.IFNA(VLOOKUP($B78,QuyDoi_DonVi!$C:$S,5,FALSE),0)*100/(_xlfn.IFNA(VLOOKUP($B78,SOP_Banh!$C:$X,13,FALSE),0)*16)-100,0)</f>
        <v>-100</v>
      </c>
      <c r="M78" s="61">
        <f>IFERROR(_xlfn.IFNA(VLOOKUP($B78,QuyDoi_DonVi!$C:$S,4,FALSE),0)*100/_xlfn.IFNA(VLOOKUP($B78,SOP_Banh!$C:$X,14,FALSE),0),0)-100</f>
        <v>-100</v>
      </c>
      <c r="N78" s="61">
        <f>IFERROR(_xlfn.IFNA(VLOOKUP($B78,Dulieutho,ChiTiet!L$2,FALSE),0)*100/_xlfn.IFNA(VLOOKUP($B78,SOP_Banh!$C:$X,15,FALSE),0),0)-100</f>
        <v>-23.07692307692308</v>
      </c>
      <c r="O78" s="61">
        <f>IFERROR(_xlfn.IFNA(VLOOKUP($B78,Dulieutho,ChiTiet!AJ$2,FALSE),0)*192*100/_xlfn.IFNA(VLOOKUP($B78,SOP_Banh!$C:$X,16,FALSE),0)-100,0)</f>
        <v>21.518987341772146</v>
      </c>
      <c r="P78" s="61">
        <f>IFERROR(_xlfn.IFNA(VLOOKUP($B78,Dulieutho,ChiTiet!AG$2,FALSE),0)*100/_xlfn.IFNA(VLOOKUP($B78,SOP_Nuoc!$C:$H,3,FALSE),0)-100,0)</f>
        <v>-100</v>
      </c>
      <c r="Q78" s="63">
        <f>IFERROR(_xlfn.IFNA(VLOOKUP($B78,Dulieutho,ChiTiet!AH$2,FALSE),0)*3600*100/_xlfn.IFNA(VLOOKUP($B78,SOP_Banh!$C:$X,18,FALSE),0)-100,0)</f>
        <v>659.49367088607596</v>
      </c>
      <c r="R78" s="61">
        <f>IFERROR(_xlfn.IFNA(VLOOKUP($B78,QuyDoi_DonVi!$C:$S,17,FALSE),0)*100/_xlfn.IFNA(VLOOKUP($B78,SOP_Banh!$C:$X,19,FALSE),0),0)-100</f>
        <v>-100</v>
      </c>
      <c r="S78" s="60">
        <f>_xlfn.IFNA(VLOOKUP($B78,SOP_Nuoc!$C:$W,19,FALSE),0)</f>
        <v>0</v>
      </c>
      <c r="T78" s="60">
        <f>IF(S78&lt;&gt;0,IFERROR(_xlfn.IFNA(VLOOKUP($B78,QuyDoi_DonVi!$C:$S,7,FALSE),0)*100/_xlfn.IFNA(VLOOKUP($B78,SOP_Nuoc!$C:$W,20,FALSE),0),0)-100,0)</f>
        <v>0</v>
      </c>
      <c r="U78" s="60">
        <f>_xlfn.IFNA(VLOOKUP($B78,QuyDoi_DonVi!$C:$S,10,FALSE),0)</f>
        <v>12</v>
      </c>
      <c r="V78" s="60">
        <f>_xlfn.IFNA(VLOOKUP($B78,QuyDoi_DonVi!$C:$S,8,FALSE),0)</f>
        <v>4</v>
      </c>
      <c r="W78" s="60">
        <f>_xlfn.IFNA(VLOOKUP($B78,Dulieutho,ChiTiet!S$2,FALSE),0)</f>
        <v>24</v>
      </c>
    </row>
    <row r="79" spans="1:23" ht="15.6">
      <c r="A79" s="10" t="s">
        <v>219</v>
      </c>
      <c r="B79" s="9" t="s">
        <v>247</v>
      </c>
      <c r="C79" s="11" t="s">
        <v>248</v>
      </c>
      <c r="D79" s="62">
        <f>IFERROR(SUM(_xlfn.IFNA(VLOOKUP($B79,Dulieutho,ChiTiet!J$2,FALSE),0),_xlfn.IFNA(VLOOKUP($B79,Dulieutho,ChiTiet!K$2,FALSE),0),_xlfn.IFNA(VLOOKUP($B79,Dulieutho,ChiTiet!AK$2,FALSE),0),_xlfn.IFNA(VLOOKUP($B79,Dulieutho,ChiTiet!AL$2,FALSE),0))*100/_xlfn.IFNA(VLOOKUP($B79,SOP_Banh!$C:$X,7,FALSE),0),0)-100</f>
        <v>18.99791231732776</v>
      </c>
      <c r="E79" s="61">
        <f>IFERROR(_xlfn.IFNA(VLOOKUP($B79,QuyDoi_DonVi!$C:$S,12,FALSE),0)*100/_xlfn.IFNA(VLOOKUP($B79,SOP_Banh!$C:$X,8,FALSE),0),0)-100</f>
        <v>-100</v>
      </c>
      <c r="F79" s="61">
        <f>IFERROR(_xlfn.IFNA(VLOOKUP($B79,QuyDoi_DonVi!$C:$S,13,FALSE),0)*100/_xlfn.IFNA(VLOOKUP($B79,SOP_Banh!$C:$X,9,FALSE),0),0)-100</f>
        <v>146.67931688804555</v>
      </c>
      <c r="G79" s="63">
        <f>IFERROR(_xlfn.IFNA(VLOOKUP($B79,Dulieutho,ChiTiet!Z$2,FALSE),0)*100/_xlfn.IFNA(VLOOKUP($B79,SOP_Banh!$C:$X,10,FALSE),0),0)-100</f>
        <v>-76.811594202898547</v>
      </c>
      <c r="H79" s="61">
        <f>IFERROR(SUM(_xlfn.IFNA(VLOOKUP($B79,Dulieutho,ChiTiet!AB$2,FALSE),0),_xlfn.IFNA(VLOOKUP($B79,Dulieutho,ChiTiet!AC$2,FALSE),0))*100/_xlfn.IFNA(VLOOKUP($B79,SOP_Banh!$C:$X,20,FALSE),0)-100,0)</f>
        <v>-42.588726513569938</v>
      </c>
      <c r="I79" s="61">
        <f>IFERROR(_xlfn.IFNA(VLOOKUP($B79,Dulieutho,ChiTiet!AF$2,FALSE),0)*100/_xlfn.IFNA(VLOOKUP($B79,SOP_Banh!$C:$X,21,FALSE),0)-100,0)</f>
        <v>4.1666666666666714</v>
      </c>
      <c r="J79" s="61">
        <f>IFERROR(_xlfn.IFNA(VLOOKUP($B79,Dulieutho,ChiTiet!AD$2,FALSE),0)*100/_xlfn.IFNA(VLOOKUP($B79,SOP_Banh!$C:$X,22,FALSE),0)-100,0)</f>
        <v>4.1666666666666714</v>
      </c>
      <c r="K79" s="61">
        <f>IFERROR(_xlfn.IFNA(VLOOKUP($B79,QuyDoi_DonVi!$C:$S,3,FALSE),0)*100/_xlfn.IFNA(VLOOKUP($B79,SOP_Banh!$C:$X,12,FALSE),0),0)-100</f>
        <v>108.33333333333334</v>
      </c>
      <c r="L79" s="61">
        <f>IFERROR(_xlfn.IFNA(VLOOKUP($B79,QuyDoi_DonVi!$C:$S,5,FALSE),0)*100/(_xlfn.IFNA(VLOOKUP($B79,SOP_Banh!$C:$X,13,FALSE),0)*16)-100,0)</f>
        <v>-33.333333333333329</v>
      </c>
      <c r="M79" s="61">
        <f>IFERROR(_xlfn.IFNA(VLOOKUP($B79,QuyDoi_DonVi!$C:$S,4,FALSE),0)*100/_xlfn.IFNA(VLOOKUP($B79,SOP_Banh!$C:$X,14,FALSE),0),0)-100</f>
        <v>108.33333333333334</v>
      </c>
      <c r="N79" s="61">
        <f>IFERROR(_xlfn.IFNA(VLOOKUP($B79,Dulieutho,ChiTiet!L$2,FALSE),0)*100/_xlfn.IFNA(VLOOKUP($B79,SOP_Banh!$C:$X,15,FALSE),0),0)-100</f>
        <v>19.791666666666671</v>
      </c>
      <c r="O79" s="61">
        <f>IFERROR(_xlfn.IFNA(VLOOKUP($B79,Dulieutho,ChiTiet!AJ$2,FALSE),0)*192*100/_xlfn.IFNA(VLOOKUP($B79,SOP_Banh!$C:$X,16,FALSE),0)-100,0)</f>
        <v>-69.181380417335475</v>
      </c>
      <c r="P79" s="61">
        <f>IFERROR(_xlfn.IFNA(VLOOKUP($B79,Dulieutho,ChiTiet!AG$2,FALSE),0)*100/_xlfn.IFNA(VLOOKUP($B79,SOP_Nuoc!$C:$H,3,FALSE),0)-100,0)</f>
        <v>-19.743178170144461</v>
      </c>
      <c r="Q79" s="63">
        <f>IFERROR(_xlfn.IFNA(VLOOKUP($B79,Dulieutho,ChiTiet!AH$2,FALSE),0)*3600*100/_xlfn.IFNA(VLOOKUP($B79,SOP_Banh!$C:$X,18,FALSE),0)-100,0)</f>
        <v>-100</v>
      </c>
      <c r="R79" s="61">
        <f>IFERROR(_xlfn.IFNA(VLOOKUP($B79,QuyDoi_DonVi!$C:$S,17,FALSE),0)*100/_xlfn.IFNA(VLOOKUP($B79,SOP_Banh!$C:$X,19,FALSE),0),0)-100</f>
        <v>-19.743178170144461</v>
      </c>
      <c r="S79" s="60">
        <f>_xlfn.IFNA(VLOOKUP($B79,SOP_Nuoc!$C:$W,19,FALSE),0)</f>
        <v>0</v>
      </c>
      <c r="T79" s="60">
        <f>IF(S79&lt;&gt;0,IFERROR(_xlfn.IFNA(VLOOKUP($B79,QuyDoi_DonVi!$C:$S,7,FALSE),0)*100/_xlfn.IFNA(VLOOKUP($B79,SOP_Nuoc!$C:$W,20,FALSE),0),0)-100,0)</f>
        <v>0</v>
      </c>
      <c r="U79" s="60">
        <f>_xlfn.IFNA(VLOOKUP($B79,QuyDoi_DonVi!$C:$S,10,FALSE),0)</f>
        <v>0</v>
      </c>
      <c r="V79" s="60">
        <f>_xlfn.IFNA(VLOOKUP($B79,QuyDoi_DonVi!$C:$S,8,FALSE),0)</f>
        <v>6.5</v>
      </c>
      <c r="W79" s="60">
        <f>_xlfn.IFNA(VLOOKUP($B79,Dulieutho,ChiTiet!S$2,FALSE),0)</f>
        <v>48</v>
      </c>
    </row>
    <row r="80" spans="1:23" ht="15.6">
      <c r="A80" s="10" t="s">
        <v>219</v>
      </c>
      <c r="B80" s="9" t="s">
        <v>249</v>
      </c>
      <c r="C80" s="11" t="s">
        <v>250</v>
      </c>
      <c r="D80" s="62">
        <f>IFERROR(SUM(_xlfn.IFNA(VLOOKUP($B80,Dulieutho,ChiTiet!J$2,FALSE),0),_xlfn.IFNA(VLOOKUP($B80,Dulieutho,ChiTiet!K$2,FALSE),0),_xlfn.IFNA(VLOOKUP($B80,Dulieutho,ChiTiet!AK$2,FALSE),0),_xlfn.IFNA(VLOOKUP($B80,Dulieutho,ChiTiet!AL$2,FALSE),0))*100/_xlfn.IFNA(VLOOKUP($B80,SOP_Banh!$C:$X,7,FALSE),0),0)-100</f>
        <v>23.853211009174316</v>
      </c>
      <c r="E80" s="61">
        <f>IFERROR(_xlfn.IFNA(VLOOKUP($B80,QuyDoi_DonVi!$C:$S,12,FALSE),0)*100/_xlfn.IFNA(VLOOKUP($B80,SOP_Banh!$C:$X,8,FALSE),0),0)-100</f>
        <v>66.204986149584499</v>
      </c>
      <c r="F80" s="61">
        <f>IFERROR(_xlfn.IFNA(VLOOKUP($B80,QuyDoi_DonVi!$C:$S,13,FALSE),0)*100/_xlfn.IFNA(VLOOKUP($B80,SOP_Banh!$C:$X,9,FALSE),0),0)-100</f>
        <v>12.044817927170868</v>
      </c>
      <c r="G80" s="63">
        <f>IFERROR(_xlfn.IFNA(VLOOKUP($B80,Dulieutho,ChiTiet!Z$2,FALSE),0)*100/_xlfn.IFNA(VLOOKUP($B80,SOP_Banh!$C:$X,10,FALSE),0),0)-100</f>
        <v>-40.74074074074074</v>
      </c>
      <c r="H80" s="61">
        <f>IFERROR(SUM(_xlfn.IFNA(VLOOKUP($B80,Dulieutho,ChiTiet!AB$2,FALSE),0),_xlfn.IFNA(VLOOKUP($B80,Dulieutho,ChiTiet!AC$2,FALSE),0))*100/_xlfn.IFNA(VLOOKUP($B80,SOP_Banh!$C:$X,20,FALSE),0)-100,0)</f>
        <v>-15.902140672782878</v>
      </c>
      <c r="I80" s="61">
        <f>IFERROR(_xlfn.IFNA(VLOOKUP($B80,Dulieutho,ChiTiet!AF$2,FALSE),0)*100/_xlfn.IFNA(VLOOKUP($B80,SOP_Banh!$C:$X,21,FALSE),0)-100,0)</f>
        <v>47.058823529411768</v>
      </c>
      <c r="J80" s="61">
        <f>IFERROR(_xlfn.IFNA(VLOOKUP($B80,Dulieutho,ChiTiet!AD$2,FALSE),0)*100/_xlfn.IFNA(VLOOKUP($B80,SOP_Banh!$C:$X,22,FALSE),0)-100,0)</f>
        <v>66.666666666666657</v>
      </c>
      <c r="K80" s="61">
        <f>IFERROR(_xlfn.IFNA(VLOOKUP($B80,QuyDoi_DonVi!$C:$S,3,FALSE),0)*100/_xlfn.IFNA(VLOOKUP($B80,SOP_Banh!$C:$X,12,FALSE),0),0)-100</f>
        <v>-100</v>
      </c>
      <c r="L80" s="61">
        <f>IFERROR(_xlfn.IFNA(VLOOKUP($B80,QuyDoi_DonVi!$C:$S,5,FALSE),0)*100/(_xlfn.IFNA(VLOOKUP($B80,SOP_Banh!$C:$X,13,FALSE),0)*16)-100,0)</f>
        <v>-100</v>
      </c>
      <c r="M80" s="61">
        <f>IFERROR(_xlfn.IFNA(VLOOKUP($B80,QuyDoi_DonVi!$C:$S,4,FALSE),0)*100/_xlfn.IFNA(VLOOKUP($B80,SOP_Banh!$C:$X,14,FALSE),0),0)-100</f>
        <v>-100</v>
      </c>
      <c r="N80" s="61">
        <f>IFERROR(_xlfn.IFNA(VLOOKUP($B80,Dulieutho,ChiTiet!L$2,FALSE),0)*100/_xlfn.IFNA(VLOOKUP($B80,SOP_Banh!$C:$X,15,FALSE),0),0)-100</f>
        <v>2.941176470588232</v>
      </c>
      <c r="O80" s="61">
        <f>IFERROR(_xlfn.IFNA(VLOOKUP($B80,Dulieutho,ChiTiet!AJ$2,FALSE),0)*192*100/_xlfn.IFNA(VLOOKUP($B80,SOP_Banh!$C:$X,16,FALSE),0)-100,0)</f>
        <v>-1.7902813299232747</v>
      </c>
      <c r="P80" s="61">
        <f>IFERROR(_xlfn.IFNA(VLOOKUP($B80,Dulieutho,ChiTiet!AG$2,FALSE),0)*100/_xlfn.IFNA(VLOOKUP($B80,SOP_Nuoc!$C:$H,3,FALSE),0)-100,0)</f>
        <v>-100</v>
      </c>
      <c r="Q80" s="63">
        <f>IFERROR(_xlfn.IFNA(VLOOKUP($B80,Dulieutho,ChiTiet!AH$2,FALSE),0)*3600*100/_xlfn.IFNA(VLOOKUP($B80,SOP_Banh!$C:$X,18,FALSE),0)-100,0)</f>
        <v>-100</v>
      </c>
      <c r="R80" s="61">
        <f>IFERROR(_xlfn.IFNA(VLOOKUP($B80,QuyDoi_DonVi!$C:$S,17,FALSE),0)*100/_xlfn.IFNA(VLOOKUP($B80,SOP_Banh!$C:$X,19,FALSE),0),0)-100</f>
        <v>-100</v>
      </c>
      <c r="S80" s="60">
        <f>_xlfn.IFNA(VLOOKUP($B80,SOP_Nuoc!$C:$W,19,FALSE),0)</f>
        <v>0</v>
      </c>
      <c r="T80" s="60">
        <f>IF(S80&lt;&gt;0,IFERROR(_xlfn.IFNA(VLOOKUP($B80,QuyDoi_DonVi!$C:$S,7,FALSE),0)*100/_xlfn.IFNA(VLOOKUP($B80,SOP_Nuoc!$C:$W,20,FALSE),0),0)-100,0)</f>
        <v>0</v>
      </c>
      <c r="U80" s="60">
        <f>_xlfn.IFNA(VLOOKUP($B80,QuyDoi_DonVi!$C:$S,10,FALSE),0)</f>
        <v>12</v>
      </c>
      <c r="V80" s="60">
        <f>_xlfn.IFNA(VLOOKUP($B80,QuyDoi_DonVi!$C:$S,8,FALSE),0)</f>
        <v>8</v>
      </c>
      <c r="W80" s="60">
        <f>_xlfn.IFNA(VLOOKUP($B80,Dulieutho,ChiTiet!S$2,FALSE),0)</f>
        <v>24</v>
      </c>
    </row>
    <row r="81" spans="1:23" ht="15.6">
      <c r="A81" s="10" t="s">
        <v>219</v>
      </c>
      <c r="B81" s="9" t="s">
        <v>251</v>
      </c>
      <c r="C81" s="11" t="s">
        <v>252</v>
      </c>
      <c r="D81" s="62">
        <f>IFERROR(SUM(_xlfn.IFNA(VLOOKUP($B81,Dulieutho,ChiTiet!J$2,FALSE),0),_xlfn.IFNA(VLOOKUP($B81,Dulieutho,ChiTiet!K$2,FALSE),0),_xlfn.IFNA(VLOOKUP($B81,Dulieutho,ChiTiet!AK$2,FALSE),0),_xlfn.IFNA(VLOOKUP($B81,Dulieutho,ChiTiet!AL$2,FALSE),0))*100/_xlfn.IFNA(VLOOKUP($B81,SOP_Banh!$C:$X,7,FALSE),0),0)-100</f>
        <v>-2.6867627785058943</v>
      </c>
      <c r="E81" s="61">
        <f>IFERROR(_xlfn.IFNA(VLOOKUP($B81,QuyDoi_DonVi!$C:$S,12,FALSE),0)*100/_xlfn.IFNA(VLOOKUP($B81,SOP_Banh!$C:$X,8,FALSE),0),0)-100</f>
        <v>15.740740740740748</v>
      </c>
      <c r="F81" s="61">
        <f>IFERROR(_xlfn.IFNA(VLOOKUP($B81,QuyDoi_DonVi!$C:$S,13,FALSE),0)*100/_xlfn.IFNA(VLOOKUP($B81,SOP_Banh!$C:$X,9,FALSE),0),0)-100</f>
        <v>1.0701545778834713</v>
      </c>
      <c r="G81" s="63">
        <f>IFERROR(_xlfn.IFNA(VLOOKUP($B81,Dulieutho,ChiTiet!Z$2,FALSE),0)*100/_xlfn.IFNA(VLOOKUP($B81,SOP_Banh!$C:$X,10,FALSE),0),0)-100</f>
        <v>-23.80952380952381</v>
      </c>
      <c r="H81" s="61">
        <f>IFERROR(SUM(_xlfn.IFNA(VLOOKUP($B81,Dulieutho,ChiTiet!AB$2,FALSE),0),_xlfn.IFNA(VLOOKUP($B81,Dulieutho,ChiTiet!AC$2,FALSE),0))*100/_xlfn.IFNA(VLOOKUP($B81,SOP_Banh!$C:$X,20,FALSE),0)-100,0)</f>
        <v>-44.298820445609437</v>
      </c>
      <c r="I81" s="61">
        <f>IFERROR(_xlfn.IFNA(VLOOKUP($B81,Dulieutho,ChiTiet!AF$2,FALSE),0)*100/_xlfn.IFNA(VLOOKUP($B81,SOP_Banh!$C:$X,21,FALSE),0)-100,0)</f>
        <v>-0.99009900990098743</v>
      </c>
      <c r="J81" s="61">
        <f>IFERROR(_xlfn.IFNA(VLOOKUP($B81,Dulieutho,ChiTiet!AD$2,FALSE),0)*100/_xlfn.IFNA(VLOOKUP($B81,SOP_Banh!$C:$X,22,FALSE),0)-100,0)</f>
        <v>-3.8461538461538396</v>
      </c>
      <c r="K81" s="61">
        <f>IFERROR(_xlfn.IFNA(VLOOKUP($B81,QuyDoi_DonVi!$C:$S,3,FALSE),0)*100/_xlfn.IFNA(VLOOKUP($B81,SOP_Banh!$C:$X,12,FALSE),0),0)-100</f>
        <v>28.205128205128204</v>
      </c>
      <c r="L81" s="61">
        <f>IFERROR(_xlfn.IFNA(VLOOKUP($B81,QuyDoi_DonVi!$C:$S,5,FALSE),0)*100/(_xlfn.IFNA(VLOOKUP($B81,SOP_Banh!$C:$X,13,FALSE),0)*16)-100,0)</f>
        <v>-17.948717948717942</v>
      </c>
      <c r="M81" s="61">
        <f>IFERROR(_xlfn.IFNA(VLOOKUP($B81,QuyDoi_DonVi!$C:$S,4,FALSE),0)*100/_xlfn.IFNA(VLOOKUP($B81,SOP_Banh!$C:$X,14,FALSE),0),0)-100</f>
        <v>-35.897435897435898</v>
      </c>
      <c r="N81" s="61">
        <f>IFERROR(_xlfn.IFNA(VLOOKUP($B81,Dulieutho,ChiTiet!L$2,FALSE),0)*100/_xlfn.IFNA(VLOOKUP($B81,SOP_Banh!$C:$X,15,FALSE),0),0)-100</f>
        <v>-8.4158415841584144</v>
      </c>
      <c r="O81" s="61">
        <f>IFERROR(_xlfn.IFNA(VLOOKUP($B81,Dulieutho,ChiTiet!AJ$2,FALSE),0)*192*100/_xlfn.IFNA(VLOOKUP($B81,SOP_Banh!$C:$X,16,FALSE),0)-100,0)</f>
        <v>-13.375796178343947</v>
      </c>
      <c r="P81" s="61">
        <f>IFERROR(_xlfn.IFNA(VLOOKUP($B81,Dulieutho,ChiTiet!AG$2,FALSE),0)*100/_xlfn.IFNA(VLOOKUP($B81,SOP_Nuoc!$C:$H,3,FALSE),0)-100,0)</f>
        <v>-20.382165605095537</v>
      </c>
      <c r="Q81" s="63">
        <f>IFERROR(_xlfn.IFNA(VLOOKUP($B81,Dulieutho,ChiTiet!AH$2,FALSE),0)*3600*100/_xlfn.IFNA(VLOOKUP($B81,SOP_Banh!$C:$X,18,FALSE),0)-100,0)</f>
        <v>-4.4585987261146443</v>
      </c>
      <c r="R81" s="61">
        <f>IFERROR(_xlfn.IFNA(VLOOKUP($B81,QuyDoi_DonVi!$C:$S,17,FALSE),0)*100/_xlfn.IFNA(VLOOKUP($B81,SOP_Banh!$C:$X,19,FALSE),0),0)-100</f>
        <v>-20.382165605095537</v>
      </c>
      <c r="S81" s="60">
        <f>_xlfn.IFNA(VLOOKUP($B81,SOP_Nuoc!$C:$W,19,FALSE),0)</f>
        <v>25</v>
      </c>
      <c r="T81" s="60">
        <f>IF(S81&lt;&gt;0,IFERROR(_xlfn.IFNA(VLOOKUP($B81,QuyDoi_DonVi!$C:$S,7,FALSE),0)*100/_xlfn.IFNA(VLOOKUP($B81,SOP_Nuoc!$C:$W,20,FALSE),0),0)-100,0)</f>
        <v>-56.000000000000007</v>
      </c>
      <c r="U81" s="60">
        <f>_xlfn.IFNA(VLOOKUP($B81,QuyDoi_DonVi!$C:$S,10,FALSE),0)</f>
        <v>24</v>
      </c>
      <c r="V81" s="60">
        <f>_xlfn.IFNA(VLOOKUP($B81,QuyDoi_DonVi!$C:$S,8,FALSE),0)</f>
        <v>13</v>
      </c>
      <c r="W81" s="60">
        <f>_xlfn.IFNA(VLOOKUP($B81,Dulieutho,ChiTiet!S$2,FALSE),0)</f>
        <v>84</v>
      </c>
    </row>
    <row r="82" spans="1:23" ht="15.6">
      <c r="A82" s="10" t="s">
        <v>219</v>
      </c>
      <c r="B82" s="9" t="s">
        <v>253</v>
      </c>
      <c r="C82" s="11" t="s">
        <v>254</v>
      </c>
      <c r="D82" s="62">
        <f>IFERROR(SUM(_xlfn.IFNA(VLOOKUP($B82,Dulieutho,ChiTiet!J$2,FALSE),0),_xlfn.IFNA(VLOOKUP($B82,Dulieutho,ChiTiet!K$2,FALSE),0),_xlfn.IFNA(VLOOKUP($B82,Dulieutho,ChiTiet!AK$2,FALSE),0),_xlfn.IFNA(VLOOKUP($B82,Dulieutho,ChiTiet!AL$2,FALSE),0))*100/_xlfn.IFNA(VLOOKUP($B82,SOP_Banh!$C:$X,7,FALSE),0),0)-100</f>
        <v>7.8431372549019613</v>
      </c>
      <c r="E82" s="61">
        <f>IFERROR(_xlfn.IFNA(VLOOKUP($B82,QuyDoi_DonVi!$C:$S,12,FALSE),0)*100/_xlfn.IFNA(VLOOKUP($B82,SOP_Banh!$C:$X,8,FALSE),0),0)-100</f>
        <v>122.22222222222223</v>
      </c>
      <c r="F82" s="61">
        <f>IFERROR(_xlfn.IFNA(VLOOKUP($B82,QuyDoi_DonVi!$C:$S,13,FALSE),0)*100/_xlfn.IFNA(VLOOKUP($B82,SOP_Banh!$C:$X,9,FALSE),0),0)-100</f>
        <v>47.679324894514764</v>
      </c>
      <c r="G82" s="63">
        <f>IFERROR(_xlfn.IFNA(VLOOKUP($B82,Dulieutho,ChiTiet!Z$2,FALSE),0)*100/_xlfn.IFNA(VLOOKUP($B82,SOP_Banh!$C:$X,10,FALSE),0),0)-100</f>
        <v>-52.592592592592595</v>
      </c>
      <c r="H82" s="61">
        <f>IFERROR(SUM(_xlfn.IFNA(VLOOKUP($B82,Dulieutho,ChiTiet!AB$2,FALSE),0),_xlfn.IFNA(VLOOKUP($B82,Dulieutho,ChiTiet!AC$2,FALSE),0))*100/_xlfn.IFNA(VLOOKUP($B82,SOP_Banh!$C:$X,20,FALSE),0)-100,0)</f>
        <v>-70.04357298474946</v>
      </c>
      <c r="I82" s="61">
        <f>IFERROR(_xlfn.IFNA(VLOOKUP($B82,Dulieutho,ChiTiet!AF$2,FALSE),0)*100/_xlfn.IFNA(VLOOKUP($B82,SOP_Banh!$C:$X,21,FALSE),0)-100,0)</f>
        <v>23.456790123456784</v>
      </c>
      <c r="J82" s="61">
        <f>IFERROR(_xlfn.IFNA(VLOOKUP($B82,Dulieutho,ChiTiet!AD$2,FALSE),0)*100/_xlfn.IFNA(VLOOKUP($B82,SOP_Banh!$C:$X,22,FALSE),0)-100,0)</f>
        <v>-100</v>
      </c>
      <c r="K82" s="61">
        <f>IFERROR(_xlfn.IFNA(VLOOKUP($B82,QuyDoi_DonVi!$C:$S,3,FALSE),0)*100/_xlfn.IFNA(VLOOKUP($B82,SOP_Banh!$C:$X,12,FALSE),0),0)-100</f>
        <v>66.666666666666657</v>
      </c>
      <c r="L82" s="61">
        <f>IFERROR(_xlfn.IFNA(VLOOKUP($B82,QuyDoi_DonVi!$C:$S,5,FALSE),0)*100/(_xlfn.IFNA(VLOOKUP($B82,SOP_Banh!$C:$X,13,FALSE),0)*16)-100,0)</f>
        <v>6.6666666666666714</v>
      </c>
      <c r="M82" s="61">
        <f>IFERROR(_xlfn.IFNA(VLOOKUP($B82,QuyDoi_DonVi!$C:$S,4,FALSE),0)*100/_xlfn.IFNA(VLOOKUP($B82,SOP_Banh!$C:$X,14,FALSE),0),0)-100</f>
        <v>-100</v>
      </c>
      <c r="N82" s="61">
        <f>IFERROR(_xlfn.IFNA(VLOOKUP($B82,Dulieutho,ChiTiet!L$2,FALSE),0)*100/_xlfn.IFNA(VLOOKUP($B82,SOP_Banh!$C:$X,15,FALSE),0),0)-100</f>
        <v>-7.4074074074074048</v>
      </c>
      <c r="O82" s="61">
        <f>IFERROR(_xlfn.IFNA(VLOOKUP($B82,Dulieutho,ChiTiet!AJ$2,FALSE),0)*192*100/_xlfn.IFNA(VLOOKUP($B82,SOP_Banh!$C:$X,16,FALSE),0)-100,0)</f>
        <v>-82.702702702702709</v>
      </c>
      <c r="P82" s="61">
        <f>IFERROR(_xlfn.IFNA(VLOOKUP($B82,Dulieutho,ChiTiet!AG$2,FALSE),0)*100/_xlfn.IFNA(VLOOKUP($B82,SOP_Nuoc!$C:$H,3,FALSE),0)-100,0)</f>
        <v>-9.9099099099099135</v>
      </c>
      <c r="Q82" s="63">
        <f>IFERROR(_xlfn.IFNA(VLOOKUP($B82,Dulieutho,ChiTiet!AH$2,FALSE),0)*3600*100/_xlfn.IFNA(VLOOKUP($B82,SOP_Banh!$C:$X,18,FALSE),0)-100,0)</f>
        <v>-100</v>
      </c>
      <c r="R82" s="61">
        <f>IFERROR(_xlfn.IFNA(VLOOKUP($B82,QuyDoi_DonVi!$C:$S,17,FALSE),0)*100/_xlfn.IFNA(VLOOKUP($B82,SOP_Banh!$C:$X,19,FALSE),0),0)-100</f>
        <v>-100</v>
      </c>
      <c r="S82" s="60">
        <f>_xlfn.IFNA(VLOOKUP($B82,SOP_Nuoc!$C:$W,19,FALSE),0)</f>
        <v>25</v>
      </c>
      <c r="T82" s="60">
        <f>IF(S82&lt;&gt;0,IFERROR(_xlfn.IFNA(VLOOKUP($B82,QuyDoi_DonVi!$C:$S,7,FALSE),0)*100/_xlfn.IFNA(VLOOKUP($B82,SOP_Nuoc!$C:$W,20,FALSE),0),0)-100,0)</f>
        <v>-56.000000000000007</v>
      </c>
      <c r="U82" s="60">
        <f>_xlfn.IFNA(VLOOKUP($B82,QuyDoi_DonVi!$C:$S,10,FALSE),0)</f>
        <v>24</v>
      </c>
      <c r="V82" s="60">
        <f>_xlfn.IFNA(VLOOKUP($B82,QuyDoi_DonVi!$C:$S,8,FALSE),0)</f>
        <v>18</v>
      </c>
      <c r="W82" s="60">
        <f>_xlfn.IFNA(VLOOKUP($B82,Dulieutho,ChiTiet!S$2,FALSE),0)</f>
        <v>96</v>
      </c>
    </row>
    <row r="83" spans="1:23" ht="15.6">
      <c r="A83" s="10" t="s">
        <v>219</v>
      </c>
      <c r="B83" s="9" t="s">
        <v>255</v>
      </c>
      <c r="C83" s="11" t="s">
        <v>256</v>
      </c>
      <c r="D83" s="62">
        <f>IFERROR(SUM(_xlfn.IFNA(VLOOKUP($B83,Dulieutho,ChiTiet!J$2,FALSE),0),_xlfn.IFNA(VLOOKUP($B83,Dulieutho,ChiTiet!K$2,FALSE),0),_xlfn.IFNA(VLOOKUP($B83,Dulieutho,ChiTiet!AK$2,FALSE),0),_xlfn.IFNA(VLOOKUP($B83,Dulieutho,ChiTiet!AL$2,FALSE),0))*100/_xlfn.IFNA(VLOOKUP($B83,SOP_Banh!$C:$X,7,FALSE),0),0)-100</f>
        <v>4.508196721311478</v>
      </c>
      <c r="E83" s="61">
        <f>IFERROR(_xlfn.IFNA(VLOOKUP($B83,QuyDoi_DonVi!$C:$S,12,FALSE),0)*100/_xlfn.IFNA(VLOOKUP($B83,SOP_Banh!$C:$X,8,FALSE),0),0)-100</f>
        <v>71.149144254278724</v>
      </c>
      <c r="F83" s="61">
        <f>IFERROR(_xlfn.IFNA(VLOOKUP($B83,QuyDoi_DonVi!$C:$S,13,FALSE),0)*100/_xlfn.IFNA(VLOOKUP($B83,SOP_Banh!$C:$X,9,FALSE),0),0)-100</f>
        <v>-25.925925925925924</v>
      </c>
      <c r="G83" s="63">
        <f>IFERROR(_xlfn.IFNA(VLOOKUP($B83,Dulieutho,ChiTiet!Z$2,FALSE),0)*100/_xlfn.IFNA(VLOOKUP($B83,SOP_Banh!$C:$X,10,FALSE),0),0)-100</f>
        <v>1.5873015873015817</v>
      </c>
      <c r="H83" s="61">
        <f>IFERROR(SUM(_xlfn.IFNA(VLOOKUP($B83,Dulieutho,ChiTiet!AB$2,FALSE),0),_xlfn.IFNA(VLOOKUP($B83,Dulieutho,ChiTiet!AC$2,FALSE),0))*100/_xlfn.IFNA(VLOOKUP($B83,SOP_Banh!$C:$X,20,FALSE),0)-100,0)</f>
        <v>-59.016393442622949</v>
      </c>
      <c r="I83" s="61">
        <f>IFERROR(_xlfn.IFNA(VLOOKUP($B83,Dulieutho,ChiTiet!AF$2,FALSE),0)*100/_xlfn.IFNA(VLOOKUP($B83,SOP_Banh!$C:$X,21,FALSE),0)-100,0)</f>
        <v>16.279069767441854</v>
      </c>
      <c r="J83" s="61">
        <f>IFERROR(_xlfn.IFNA(VLOOKUP($B83,Dulieutho,ChiTiet!AD$2,FALSE),0)*100/_xlfn.IFNA(VLOOKUP($B83,SOP_Banh!$C:$X,22,FALSE),0)-100,0)</f>
        <v>-35.897435897435898</v>
      </c>
      <c r="K83" s="61">
        <f>IFERROR(_xlfn.IFNA(VLOOKUP($B83,QuyDoi_DonVi!$C:$S,3,FALSE),0)*100/_xlfn.IFNA(VLOOKUP($B83,SOP_Banh!$C:$X,12,FALSE),0),0)-100</f>
        <v>-100</v>
      </c>
      <c r="L83" s="61">
        <f>IFERROR(_xlfn.IFNA(VLOOKUP($B83,QuyDoi_DonVi!$C:$S,5,FALSE),0)*100/(_xlfn.IFNA(VLOOKUP($B83,SOP_Banh!$C:$X,13,FALSE),0)*16)-100,0)</f>
        <v>-58.974358974358971</v>
      </c>
      <c r="M83" s="61">
        <f>IFERROR(_xlfn.IFNA(VLOOKUP($B83,QuyDoi_DonVi!$C:$S,4,FALSE),0)*100/_xlfn.IFNA(VLOOKUP($B83,SOP_Banh!$C:$X,14,FALSE),0),0)-100</f>
        <v>156.41025641025641</v>
      </c>
      <c r="N83" s="61">
        <f>IFERROR(_xlfn.IFNA(VLOOKUP($B83,Dulieutho,ChiTiet!L$2,FALSE),0)*100/_xlfn.IFNA(VLOOKUP($B83,SOP_Banh!$C:$X,15,FALSE),0),0)-100</f>
        <v>-18.604651162790702</v>
      </c>
      <c r="O83" s="61">
        <f>IFERROR(_xlfn.IFNA(VLOOKUP($B83,Dulieutho,ChiTiet!AJ$2,FALSE),0)*192*100/_xlfn.IFNA(VLOOKUP($B83,SOP_Banh!$C:$X,16,FALSE),0)-100,0)</f>
        <v>-14.285714285714292</v>
      </c>
      <c r="P83" s="61">
        <f>IFERROR(_xlfn.IFNA(VLOOKUP($B83,Dulieutho,ChiTiet!AG$2,FALSE),0)*100/_xlfn.IFNA(VLOOKUP($B83,SOP_Nuoc!$C:$H,3,FALSE),0)-100,0)</f>
        <v>-44.196428571428569</v>
      </c>
      <c r="Q83" s="63">
        <f>IFERROR(_xlfn.IFNA(VLOOKUP($B83,Dulieutho,ChiTiet!AH$2,FALSE),0)*3600*100/_xlfn.IFNA(VLOOKUP($B83,SOP_Banh!$C:$X,18,FALSE),0)-100,0)</f>
        <v>100.89285714285714</v>
      </c>
      <c r="R83" s="61">
        <f>IFERROR(_xlfn.IFNA(VLOOKUP($B83,QuyDoi_DonVi!$C:$S,17,FALSE),0)*100/_xlfn.IFNA(VLOOKUP($B83,SOP_Banh!$C:$X,19,FALSE),0),0)-100</f>
        <v>-44.196428571428569</v>
      </c>
      <c r="S83" s="60">
        <f>_xlfn.IFNA(VLOOKUP($B83,SOP_Nuoc!$C:$W,19,FALSE),0)</f>
        <v>0</v>
      </c>
      <c r="T83" s="60">
        <f>IF(S83&lt;&gt;0,IFERROR(_xlfn.IFNA(VLOOKUP($B83,QuyDoi_DonVi!$C:$S,7,FALSE),0)*100/_xlfn.IFNA(VLOOKUP($B83,SOP_Nuoc!$C:$W,20,FALSE),0),0)-100,0)</f>
        <v>0</v>
      </c>
      <c r="U83" s="60">
        <f>_xlfn.IFNA(VLOOKUP($B83,QuyDoi_DonVi!$C:$S,10,FALSE),0)</f>
        <v>24</v>
      </c>
      <c r="V83" s="60">
        <f>_xlfn.IFNA(VLOOKUP($B83,QuyDoi_DonVi!$C:$S,8,FALSE),0)</f>
        <v>2.5</v>
      </c>
      <c r="W83" s="60">
        <f>_xlfn.IFNA(VLOOKUP($B83,Dulieutho,ChiTiet!S$2,FALSE),0)</f>
        <v>48</v>
      </c>
    </row>
    <row r="84" spans="1:23" ht="15.6">
      <c r="A84" s="10" t="s">
        <v>219</v>
      </c>
      <c r="B84" s="9" t="s">
        <v>257</v>
      </c>
      <c r="C84" s="11" t="s">
        <v>258</v>
      </c>
      <c r="D84" s="62">
        <f>IFERROR(SUM(_xlfn.IFNA(VLOOKUP($B84,Dulieutho,ChiTiet!J$2,FALSE),0),_xlfn.IFNA(VLOOKUP($B84,Dulieutho,ChiTiet!K$2,FALSE),0),_xlfn.IFNA(VLOOKUP($B84,Dulieutho,ChiTiet!AK$2,FALSE),0),_xlfn.IFNA(VLOOKUP($B84,Dulieutho,ChiTiet!AL$2,FALSE),0))*100/_xlfn.IFNA(VLOOKUP($B84,SOP_Banh!$C:$X,7,FALSE),0),0)-100</f>
        <v>-89.051094890510953</v>
      </c>
      <c r="E84" s="61">
        <f>IFERROR(_xlfn.IFNA(VLOOKUP($B84,QuyDoi_DonVi!$C:$S,12,FALSE),0)*100/_xlfn.IFNA(VLOOKUP($B84,SOP_Banh!$C:$X,8,FALSE),0),0)-100</f>
        <v>119.78021978021977</v>
      </c>
      <c r="F84" s="61">
        <f>IFERROR(_xlfn.IFNA(VLOOKUP($B84,QuyDoi_DonVi!$C:$S,13,FALSE),0)*100/_xlfn.IFNA(VLOOKUP($B84,SOP_Banh!$C:$X,9,FALSE),0),0)-100</f>
        <v>37.931034482758633</v>
      </c>
      <c r="G84" s="63">
        <f>IFERROR(_xlfn.IFNA(VLOOKUP($B84,Dulieutho,ChiTiet!Z$2,FALSE),0)*100/_xlfn.IFNA(VLOOKUP($B84,SOP_Banh!$C:$X,10,FALSE),0),0)-100</f>
        <v>77.777777777777771</v>
      </c>
      <c r="H84" s="61">
        <f>IFERROR(SUM(_xlfn.IFNA(VLOOKUP($B84,Dulieutho,ChiTiet!AB$2,FALSE),0),_xlfn.IFNA(VLOOKUP($B84,Dulieutho,ChiTiet!AC$2,FALSE),0))*100/_xlfn.IFNA(VLOOKUP($B84,SOP_Banh!$C:$X,20,FALSE),0)-100,0)</f>
        <v>-14.84184914841849</v>
      </c>
      <c r="I84" s="61">
        <f>IFERROR(_xlfn.IFNA(VLOOKUP($B84,Dulieutho,ChiTiet!AF$2,FALSE),0)*100/_xlfn.IFNA(VLOOKUP($B84,SOP_Banh!$C:$X,21,FALSE),0)-100,0)</f>
        <v>13.63636363636364</v>
      </c>
      <c r="J84" s="61">
        <f>IFERROR(_xlfn.IFNA(VLOOKUP($B84,Dulieutho,ChiTiet!AD$2,FALSE),0)*100/_xlfn.IFNA(VLOOKUP($B84,SOP_Banh!$C:$X,22,FALSE),0)-100,0)</f>
        <v>-100</v>
      </c>
      <c r="K84" s="61">
        <f>IFERROR(_xlfn.IFNA(VLOOKUP($B84,QuyDoi_DonVi!$C:$S,3,FALSE),0)*100/_xlfn.IFNA(VLOOKUP($B84,SOP_Banh!$C:$X,12,FALSE),0),0)-100</f>
        <v>-100</v>
      </c>
      <c r="L84" s="61">
        <f>IFERROR(_xlfn.IFNA(VLOOKUP($B84,QuyDoi_DonVi!$C:$S,5,FALSE),0)*100/(_xlfn.IFNA(VLOOKUP($B84,SOP_Banh!$C:$X,13,FALSE),0)*16)-100,0)</f>
        <v>-100</v>
      </c>
      <c r="M84" s="61">
        <f>IFERROR(_xlfn.IFNA(VLOOKUP($B84,QuyDoi_DonVi!$C:$S,4,FALSE),0)*100/_xlfn.IFNA(VLOOKUP($B84,SOP_Banh!$C:$X,14,FALSE),0),0)-100</f>
        <v>-100</v>
      </c>
      <c r="N84" s="61">
        <f>IFERROR(_xlfn.IFNA(VLOOKUP($B84,Dulieutho,ChiTiet!L$2,FALSE),0)*100/_xlfn.IFNA(VLOOKUP($B84,SOP_Banh!$C:$X,15,FALSE),0),0)-100</f>
        <v>-43.18181818181818</v>
      </c>
      <c r="O84" s="61">
        <f>IFERROR(_xlfn.IFNA(VLOOKUP($B84,Dulieutho,ChiTiet!AJ$2,FALSE),0)*192*100/_xlfn.IFNA(VLOOKUP($B84,SOP_Banh!$C:$X,16,FALSE),0)-100,0)</f>
        <v>-19.832985386221296</v>
      </c>
      <c r="P84" s="61">
        <f>IFERROR(_xlfn.IFNA(VLOOKUP($B84,Dulieutho,ChiTiet!AG$2,FALSE),0)*100/_xlfn.IFNA(VLOOKUP($B84,SOP_Nuoc!$C:$H,3,FALSE),0)-100,0)</f>
        <v>-100</v>
      </c>
      <c r="Q84" s="63">
        <f>IFERROR(_xlfn.IFNA(VLOOKUP($B84,Dulieutho,ChiTiet!AH$2,FALSE),0)*3600*100/_xlfn.IFNA(VLOOKUP($B84,SOP_Banh!$C:$X,18,FALSE),0)-100,0)</f>
        <v>275.78288100208766</v>
      </c>
      <c r="R84" s="61">
        <f>IFERROR(_xlfn.IFNA(VLOOKUP($B84,QuyDoi_DonVi!$C:$S,17,FALSE),0)*100/_xlfn.IFNA(VLOOKUP($B84,SOP_Banh!$C:$X,19,FALSE),0),0)-100</f>
        <v>-100</v>
      </c>
      <c r="S84" s="60">
        <f>_xlfn.IFNA(VLOOKUP($B84,SOP_Nuoc!$C:$W,19,FALSE),0)</f>
        <v>0</v>
      </c>
      <c r="T84" s="60">
        <f>IF(S84&lt;&gt;0,IFERROR(_xlfn.IFNA(VLOOKUP($B84,QuyDoi_DonVi!$C:$S,7,FALSE),0)*100/_xlfn.IFNA(VLOOKUP($B84,SOP_Nuoc!$C:$W,20,FALSE),0),0)-100,0)</f>
        <v>0</v>
      </c>
      <c r="U84" s="60">
        <f>_xlfn.IFNA(VLOOKUP($B84,QuyDoi_DonVi!$C:$S,10,FALSE),0)</f>
        <v>12</v>
      </c>
      <c r="V84" s="60">
        <f>_xlfn.IFNA(VLOOKUP($B84,QuyDoi_DonVi!$C:$S,8,FALSE),0)</f>
        <v>8</v>
      </c>
      <c r="W84" s="60">
        <f>_xlfn.IFNA(VLOOKUP($B84,Dulieutho,ChiTiet!S$2,FALSE),0)</f>
        <v>60</v>
      </c>
    </row>
    <row r="85" spans="1:23" ht="15.6">
      <c r="A85" s="10" t="s">
        <v>219</v>
      </c>
      <c r="B85" s="9" t="s">
        <v>259</v>
      </c>
      <c r="C85" s="11" t="s">
        <v>260</v>
      </c>
      <c r="D85" s="62">
        <f>IFERROR(SUM(_xlfn.IFNA(VLOOKUP($B85,Dulieutho,ChiTiet!J$2,FALSE),0),_xlfn.IFNA(VLOOKUP($B85,Dulieutho,ChiTiet!K$2,FALSE),0),_xlfn.IFNA(VLOOKUP($B85,Dulieutho,ChiTiet!AK$2,FALSE),0),_xlfn.IFNA(VLOOKUP($B85,Dulieutho,ChiTiet!AL$2,FALSE),0))*100/_xlfn.IFNA(VLOOKUP($B85,SOP_Banh!$C:$X,7,FALSE),0),0)-100</f>
        <v>6.3829787234042499</v>
      </c>
      <c r="E85" s="61">
        <f>IFERROR(_xlfn.IFNA(VLOOKUP($B85,QuyDoi_DonVi!$C:$S,12,FALSE),0)*100/_xlfn.IFNA(VLOOKUP($B85,SOP_Banh!$C:$X,8,FALSE),0),0)-100</f>
        <v>70.94017094017093</v>
      </c>
      <c r="F85" s="61">
        <f>IFERROR(_xlfn.IFNA(VLOOKUP($B85,QuyDoi_DonVi!$C:$S,13,FALSE),0)*100/_xlfn.IFNA(VLOOKUP($B85,SOP_Banh!$C:$X,9,FALSE),0),0)-100</f>
        <v>-36.628643852978456</v>
      </c>
      <c r="G85" s="63">
        <f>IFERROR(_xlfn.IFNA(VLOOKUP($B85,Dulieutho,ChiTiet!Z$2,FALSE),0)*100/_xlfn.IFNA(VLOOKUP($B85,SOP_Banh!$C:$X,10,FALSE),0),0)-100</f>
        <v>-16.666666666666671</v>
      </c>
      <c r="H85" s="61">
        <f>IFERROR(SUM(_xlfn.IFNA(VLOOKUP($B85,Dulieutho,ChiTiet!AB$2,FALSE),0),_xlfn.IFNA(VLOOKUP($B85,Dulieutho,ChiTiet!AC$2,FALSE),0))*100/_xlfn.IFNA(VLOOKUP($B85,SOP_Banh!$C:$X,20,FALSE),0)-100,0)</f>
        <v>-29.078014184397162</v>
      </c>
      <c r="I85" s="61">
        <f>IFERROR(_xlfn.IFNA(VLOOKUP($B85,Dulieutho,ChiTiet!AF$2,FALSE),0)*100/_xlfn.IFNA(VLOOKUP($B85,SOP_Banh!$C:$X,21,FALSE),0)-100,0)</f>
        <v>-12.280701754385959</v>
      </c>
      <c r="J85" s="61">
        <f>IFERROR(_xlfn.IFNA(VLOOKUP($B85,Dulieutho,ChiTiet!AD$2,FALSE),0)*100/_xlfn.IFNA(VLOOKUP($B85,SOP_Banh!$C:$X,22,FALSE),0)-100,0)</f>
        <v>-100</v>
      </c>
      <c r="K85" s="61">
        <f>IFERROR(_xlfn.IFNA(VLOOKUP($B85,QuyDoi_DonVi!$C:$S,3,FALSE),0)*100/_xlfn.IFNA(VLOOKUP($B85,SOP_Banh!$C:$X,12,FALSE),0),0)-100</f>
        <v>78.571428571428584</v>
      </c>
      <c r="L85" s="61">
        <f>IFERROR(_xlfn.IFNA(VLOOKUP($B85,QuyDoi_DonVi!$C:$S,5,FALSE),0)*100/(_xlfn.IFNA(VLOOKUP($B85,SOP_Banh!$C:$X,13,FALSE),0)*16)-100,0)</f>
        <v>-61.904761904761905</v>
      </c>
      <c r="M85" s="61">
        <f>IFERROR(_xlfn.IFNA(VLOOKUP($B85,QuyDoi_DonVi!$C:$S,4,FALSE),0)*100/_xlfn.IFNA(VLOOKUP($B85,SOP_Banh!$C:$X,14,FALSE),0),0)-100</f>
        <v>19.047619047619051</v>
      </c>
      <c r="N85" s="61">
        <f>IFERROR(_xlfn.IFNA(VLOOKUP($B85,Dulieutho,ChiTiet!L$2,FALSE),0)*100/_xlfn.IFNA(VLOOKUP($B85,SOP_Banh!$C:$X,15,FALSE),0),0)-100</f>
        <v>-38.596491228070178</v>
      </c>
      <c r="O85" s="61">
        <f>IFERROR(_xlfn.IFNA(VLOOKUP($B85,Dulieutho,ChiTiet!AJ$2,FALSE),0)*192*100/_xlfn.IFNA(VLOOKUP($B85,SOP_Banh!$C:$X,16,FALSE),0)-100,0)</f>
        <v>-46.843853820598007</v>
      </c>
      <c r="P85" s="61">
        <f>IFERROR(_xlfn.IFNA(VLOOKUP($B85,Dulieutho,ChiTiet!AG$2,FALSE),0)*100/_xlfn.IFNA(VLOOKUP($B85,SOP_Nuoc!$C:$H,3,FALSE),0)-100,0)</f>
        <v>-44.629014396456256</v>
      </c>
      <c r="Q85" s="63">
        <f>IFERROR(_xlfn.IFNA(VLOOKUP($B85,Dulieutho,ChiTiet!AH$2,FALSE),0)*3600*100/_xlfn.IFNA(VLOOKUP($B85,SOP_Banh!$C:$X,18,FALSE),0)-100,0)</f>
        <v>-100</v>
      </c>
      <c r="R85" s="61">
        <f>IFERROR(_xlfn.IFNA(VLOOKUP($B85,QuyDoi_DonVi!$C:$S,17,FALSE),0)*100/_xlfn.IFNA(VLOOKUP($B85,SOP_Banh!$C:$X,19,FALSE),0),0)-100</f>
        <v>-44.629014396456256</v>
      </c>
      <c r="S85" s="60">
        <f>_xlfn.IFNA(VLOOKUP($B85,SOP_Nuoc!$C:$W,19,FALSE),0)</f>
        <v>25</v>
      </c>
      <c r="T85" s="60">
        <f>IF(S85&lt;&gt;0,IFERROR(_xlfn.IFNA(VLOOKUP($B85,QuyDoi_DonVi!$C:$S,7,FALSE),0)*100/_xlfn.IFNA(VLOOKUP($B85,SOP_Nuoc!$C:$W,20,FALSE),0),0)-100,0)</f>
        <v>-56.000000000000007</v>
      </c>
      <c r="U85" s="60">
        <f>_xlfn.IFNA(VLOOKUP($B85,QuyDoi_DonVi!$C:$S,10,FALSE),0)</f>
        <v>24</v>
      </c>
      <c r="V85" s="60">
        <f>_xlfn.IFNA(VLOOKUP($B85,QuyDoi_DonVi!$C:$S,8,FALSE),0)</f>
        <v>11.5</v>
      </c>
      <c r="W85" s="60">
        <f>_xlfn.IFNA(VLOOKUP($B85,Dulieutho,ChiTiet!S$2,FALSE),0)</f>
        <v>72</v>
      </c>
    </row>
    <row r="86" spans="1:23" ht="15.6">
      <c r="A86" s="14" t="s">
        <v>219</v>
      </c>
      <c r="B86" s="13" t="s">
        <v>261</v>
      </c>
      <c r="C86" s="15" t="s">
        <v>262</v>
      </c>
      <c r="D86" s="62">
        <f>IFERROR(SUM(_xlfn.IFNA(VLOOKUP($B86,Dulieutho,ChiTiet!J$2,FALSE),0),_xlfn.IFNA(VLOOKUP($B86,Dulieutho,ChiTiet!K$2,FALSE),0),_xlfn.IFNA(VLOOKUP($B86,Dulieutho,ChiTiet!AK$2,FALSE),0),_xlfn.IFNA(VLOOKUP($B86,Dulieutho,ChiTiet!AL$2,FALSE),0))*100/_xlfn.IFNA(VLOOKUP($B86,SOP_Banh!$C:$X,7,FALSE),0),0)-100</f>
        <v>14.503816793893137</v>
      </c>
      <c r="E86" s="61">
        <f>IFERROR(_xlfn.IFNA(VLOOKUP($B86,QuyDoi_DonVi!$C:$S,12,FALSE),0)*100/_xlfn.IFNA(VLOOKUP($B86,SOP_Banh!$C:$X,8,FALSE),0),0)-100</f>
        <v>105.47945205479451</v>
      </c>
      <c r="F86" s="61">
        <f>IFERROR(_xlfn.IFNA(VLOOKUP($B86,QuyDoi_DonVi!$C:$S,13,FALSE),0)*100/_xlfn.IFNA(VLOOKUP($B86,SOP_Banh!$C:$X,9,FALSE),0),0)-100</f>
        <v>-30.069930069930066</v>
      </c>
      <c r="G86" s="63">
        <f>IFERROR(_xlfn.IFNA(VLOOKUP($B86,Dulieutho,ChiTiet!Z$2,FALSE),0)*100/_xlfn.IFNA(VLOOKUP($B86,SOP_Banh!$C:$X,10,FALSE),0),0)-100</f>
        <v>45.454545454545467</v>
      </c>
      <c r="H86" s="61">
        <f>IFERROR(SUM(_xlfn.IFNA(VLOOKUP($B86,Dulieutho,ChiTiet!AB$2,FALSE),0),_xlfn.IFNA(VLOOKUP($B86,Dulieutho,ChiTiet!AC$2,FALSE),0))*100/_xlfn.IFNA(VLOOKUP($B86,SOP_Banh!$C:$X,20,FALSE),0)-100,0)</f>
        <v>-42.748091603053432</v>
      </c>
      <c r="I86" s="61">
        <f>IFERROR(_xlfn.IFNA(VLOOKUP($B86,Dulieutho,ChiTiet!AF$2,FALSE),0)*100/_xlfn.IFNA(VLOOKUP($B86,SOP_Banh!$C:$X,21,FALSE),0)-100,0)</f>
        <v>66.666666666666657</v>
      </c>
      <c r="J86" s="61">
        <f>IFERROR(_xlfn.IFNA(VLOOKUP($B86,Dulieutho,ChiTiet!AD$2,FALSE),0)*100/_xlfn.IFNA(VLOOKUP($B86,SOP_Banh!$C:$X,22,FALSE),0)-100,0)</f>
        <v>108.33333333333334</v>
      </c>
      <c r="K86" s="61">
        <f>IFERROR(_xlfn.IFNA(VLOOKUP($B86,QuyDoi_DonVi!$C:$S,3,FALSE),0)*100/_xlfn.IFNA(VLOOKUP($B86,SOP_Banh!$C:$X,12,FALSE),0),0)-100</f>
        <v>-100</v>
      </c>
      <c r="L86" s="61">
        <f>IFERROR(_xlfn.IFNA(VLOOKUP($B86,QuyDoi_DonVi!$C:$S,5,FALSE),0)*100/(_xlfn.IFNA(VLOOKUP($B86,SOP_Banh!$C:$X,13,FALSE),0)*16)-100,0)</f>
        <v>-33.333333333333329</v>
      </c>
      <c r="M86" s="61">
        <f>IFERROR(_xlfn.IFNA(VLOOKUP($B86,QuyDoi_DonVi!$C:$S,4,FALSE),0)*100/_xlfn.IFNA(VLOOKUP($B86,SOP_Banh!$C:$X,14,FALSE),0),0)-100</f>
        <v>316.66666666666669</v>
      </c>
      <c r="N86" s="61">
        <f>IFERROR(_xlfn.IFNA(VLOOKUP($B86,Dulieutho,ChiTiet!L$2,FALSE),0)*100/_xlfn.IFNA(VLOOKUP($B86,SOP_Banh!$C:$X,15,FALSE),0),0)-100</f>
        <v>0</v>
      </c>
      <c r="O86" s="61">
        <f>IFERROR(_xlfn.IFNA(VLOOKUP($B86,Dulieutho,ChiTiet!AJ$2,FALSE),0)*192*100/_xlfn.IFNA(VLOOKUP($B86,SOP_Banh!$C:$X,16,FALSE),0)-100,0)</f>
        <v>21.518987341772146</v>
      </c>
      <c r="P86" s="61">
        <f>IFERROR(_xlfn.IFNA(VLOOKUP($B86,Dulieutho,ChiTiet!AG$2,FALSE),0)*100/_xlfn.IFNA(VLOOKUP($B86,SOP_Nuoc!$C:$H,3,FALSE),0)-100,0)</f>
        <v>-100</v>
      </c>
      <c r="Q86" s="63">
        <f>IFERROR(_xlfn.IFNA(VLOOKUP($B86,Dulieutho,ChiTiet!AH$2,FALSE),0)*3600*100/_xlfn.IFNA(VLOOKUP($B86,SOP_Banh!$C:$X,18,FALSE),0)-100,0)</f>
        <v>-100</v>
      </c>
      <c r="R86" s="61">
        <f>IFERROR(_xlfn.IFNA(VLOOKUP($B86,QuyDoi_DonVi!$C:$S,17,FALSE),0)*100/_xlfn.IFNA(VLOOKUP($B86,SOP_Banh!$C:$X,19,FALSE),0),0)-100</f>
        <v>-100</v>
      </c>
      <c r="S86" s="60">
        <f>_xlfn.IFNA(VLOOKUP($B86,SOP_Nuoc!$C:$W,19,FALSE),0)</f>
        <v>25</v>
      </c>
      <c r="T86" s="60">
        <f>IF(S86&lt;&gt;0,IFERROR(_xlfn.IFNA(VLOOKUP($B86,QuyDoi_DonVi!$C:$S,7,FALSE),0)*100/_xlfn.IFNA(VLOOKUP($B86,SOP_Nuoc!$C:$W,20,FALSE),0),0)-100,0)</f>
        <v>-56.000000000000007</v>
      </c>
      <c r="U86" s="60">
        <f>_xlfn.IFNA(VLOOKUP($B86,QuyDoi_DonVi!$C:$S,10,FALSE),0)</f>
        <v>12</v>
      </c>
      <c r="V86" s="60">
        <f>_xlfn.IFNA(VLOOKUP($B86,QuyDoi_DonVi!$C:$S,8,FALSE),0)</f>
        <v>6</v>
      </c>
      <c r="W86" s="60">
        <f>_xlfn.IFNA(VLOOKUP($B86,Dulieutho,ChiTiet!S$2,FALSE),0)</f>
        <v>36</v>
      </c>
    </row>
    <row r="87" spans="1:23" ht="15.6">
      <c r="A87" s="10" t="s">
        <v>219</v>
      </c>
      <c r="B87" s="9" t="s">
        <v>263</v>
      </c>
      <c r="C87" s="11" t="s">
        <v>264</v>
      </c>
      <c r="D87" s="62">
        <f>IFERROR(SUM(_xlfn.IFNA(VLOOKUP($B87,Dulieutho,ChiTiet!J$2,FALSE),0),_xlfn.IFNA(VLOOKUP($B87,Dulieutho,ChiTiet!K$2,FALSE),0),_xlfn.IFNA(VLOOKUP($B87,Dulieutho,ChiTiet!AK$2,FALSE),0),_xlfn.IFNA(VLOOKUP($B87,Dulieutho,ChiTiet!AL$2,FALSE),0))*100/_xlfn.IFNA(VLOOKUP($B87,SOP_Banh!$C:$X,7,FALSE),0),0)-100</f>
        <v>-0.16638935108153419</v>
      </c>
      <c r="E87" s="61">
        <f>IFERROR(_xlfn.IFNA(VLOOKUP($B87,QuyDoi_DonVi!$C:$S,12,FALSE),0)*100/_xlfn.IFNA(VLOOKUP($B87,SOP_Banh!$C:$X,8,FALSE),0),0)-100</f>
        <v>-13.916786226685801</v>
      </c>
      <c r="F87" s="61">
        <f>IFERROR(_xlfn.IFNA(VLOOKUP($B87,QuyDoi_DonVi!$C:$S,13,FALSE),0)*100/_xlfn.IFNA(VLOOKUP($B87,SOP_Banh!$C:$X,9,FALSE),0),0)-100</f>
        <v>-33.444259567387689</v>
      </c>
      <c r="G87" s="63">
        <f>IFERROR(_xlfn.IFNA(VLOOKUP($B87,Dulieutho,ChiTiet!Z$2,FALSE),0)*100/_xlfn.IFNA(VLOOKUP($B87,SOP_Banh!$C:$X,10,FALSE),0),0)-100</f>
        <v>-27.272727272727266</v>
      </c>
      <c r="H87" s="61">
        <f>IFERROR(SUM(_xlfn.IFNA(VLOOKUP($B87,Dulieutho,ChiTiet!AB$2,FALSE),0),_xlfn.IFNA(VLOOKUP($B87,Dulieutho,ChiTiet!AC$2,FALSE),0))*100/_xlfn.IFNA(VLOOKUP($B87,SOP_Banh!$C:$X,20,FALSE),0)-100,0)</f>
        <v>-62.562396006655575</v>
      </c>
      <c r="I87" s="61">
        <f>IFERROR(_xlfn.IFNA(VLOOKUP($B87,Dulieutho,ChiTiet!AF$2,FALSE),0)*100/_xlfn.IFNA(VLOOKUP($B87,SOP_Banh!$C:$X,21,FALSE),0)-100,0)</f>
        <v>4.1666666666666714</v>
      </c>
      <c r="J87" s="61">
        <f>IFERROR(_xlfn.IFNA(VLOOKUP($B87,Dulieutho,ChiTiet!AD$2,FALSE),0)*100/_xlfn.IFNA(VLOOKUP($B87,SOP_Banh!$C:$X,22,FALSE),0)-100,0)</f>
        <v>0</v>
      </c>
      <c r="K87" s="61">
        <f>IFERROR(_xlfn.IFNA(VLOOKUP($B87,QuyDoi_DonVi!$C:$S,3,FALSE),0)*100/_xlfn.IFNA(VLOOKUP($B87,SOP_Banh!$C:$X,12,FALSE),0),0)-100</f>
        <v>-100</v>
      </c>
      <c r="L87" s="61">
        <f>IFERROR(_xlfn.IFNA(VLOOKUP($B87,QuyDoi_DonVi!$C:$S,5,FALSE),0)*100/(_xlfn.IFNA(VLOOKUP($B87,SOP_Banh!$C:$X,13,FALSE),0)*16)-100,0)</f>
        <v>0</v>
      </c>
      <c r="M87" s="61">
        <f>IFERROR(_xlfn.IFNA(VLOOKUP($B87,QuyDoi_DonVi!$C:$S,4,FALSE),0)*100/_xlfn.IFNA(VLOOKUP($B87,SOP_Banh!$C:$X,14,FALSE),0),0)-100</f>
        <v>-100</v>
      </c>
      <c r="N87" s="61">
        <f>IFERROR(_xlfn.IFNA(VLOOKUP($B87,Dulieutho,ChiTiet!L$2,FALSE),0)*100/_xlfn.IFNA(VLOOKUP($B87,SOP_Banh!$C:$X,15,FALSE),0),0)-100</f>
        <v>45.833333333333343</v>
      </c>
      <c r="O87" s="61">
        <f>IFERROR(_xlfn.IFNA(VLOOKUP($B87,Dulieutho,ChiTiet!AJ$2,FALSE),0)*192*100/_xlfn.IFNA(VLOOKUP($B87,SOP_Banh!$C:$X,16,FALSE),0)-100,0)</f>
        <v>-17.360114777618364</v>
      </c>
      <c r="P87" s="61">
        <f>IFERROR(_xlfn.IFNA(VLOOKUP($B87,Dulieutho,ChiTiet!AG$2,FALSE),0)*100/_xlfn.IFNA(VLOOKUP($B87,SOP_Nuoc!$C:$H,3,FALSE),0)-100,0)</f>
        <v>-28.263988522238165</v>
      </c>
      <c r="Q87" s="63">
        <f>IFERROR(_xlfn.IFNA(VLOOKUP($B87,Dulieutho,ChiTiet!AH$2,FALSE),0)*3600*100/_xlfn.IFNA(VLOOKUP($B87,SOP_Banh!$C:$X,18,FALSE),0)-100,0)</f>
        <v>-100</v>
      </c>
      <c r="R87" s="61">
        <f>IFERROR(_xlfn.IFNA(VLOOKUP($B87,QuyDoi_DonVi!$C:$S,17,FALSE),0)*100/_xlfn.IFNA(VLOOKUP($B87,SOP_Banh!$C:$X,19,FALSE),0),0)-100</f>
        <v>-28.263988522238165</v>
      </c>
      <c r="S87" s="60">
        <f>_xlfn.IFNA(VLOOKUP($B87,SOP_Nuoc!$C:$W,19,FALSE),0)</f>
        <v>0</v>
      </c>
      <c r="T87" s="60">
        <f>IF(S87&lt;&gt;0,IFERROR(_xlfn.IFNA(VLOOKUP($B87,QuyDoi_DonVi!$C:$S,7,FALSE),0)*100/_xlfn.IFNA(VLOOKUP($B87,SOP_Nuoc!$C:$W,20,FALSE),0),0)-100,0)</f>
        <v>0</v>
      </c>
      <c r="U87" s="60">
        <f>_xlfn.IFNA(VLOOKUP($B87,QuyDoi_DonVi!$C:$S,10,FALSE),0)</f>
        <v>0</v>
      </c>
      <c r="V87" s="60">
        <f>_xlfn.IFNA(VLOOKUP($B87,QuyDoi_DonVi!$C:$S,8,FALSE),0)</f>
        <v>1</v>
      </c>
      <c r="W87" s="60">
        <f>_xlfn.IFNA(VLOOKUP($B87,Dulieutho,ChiTiet!S$2,FALSE),0)</f>
        <v>12</v>
      </c>
    </row>
    <row r="88" spans="1:23" ht="15.6">
      <c r="A88" s="10" t="s">
        <v>219</v>
      </c>
      <c r="B88" s="9" t="s">
        <v>265</v>
      </c>
      <c r="C88" s="11" t="s">
        <v>266</v>
      </c>
      <c r="D88" s="62">
        <f>IFERROR(SUM(_xlfn.IFNA(VLOOKUP($B88,Dulieutho,ChiTiet!J$2,FALSE),0),_xlfn.IFNA(VLOOKUP($B88,Dulieutho,ChiTiet!K$2,FALSE),0),_xlfn.IFNA(VLOOKUP($B88,Dulieutho,ChiTiet!AK$2,FALSE),0),_xlfn.IFNA(VLOOKUP($B88,Dulieutho,ChiTiet!AL$2,FALSE),0))*100/_xlfn.IFNA(VLOOKUP($B88,SOP_Banh!$C:$X,7,FALSE),0),0)-100</f>
        <v>-1</v>
      </c>
      <c r="E88" s="61">
        <f>IFERROR(_xlfn.IFNA(VLOOKUP($B88,QuyDoi_DonVi!$C:$S,12,FALSE),0)*100/_xlfn.IFNA(VLOOKUP($B88,SOP_Banh!$C:$X,8,FALSE),0),0)-100</f>
        <v>50.943396226415103</v>
      </c>
      <c r="F88" s="61">
        <f>IFERROR(_xlfn.IFNA(VLOOKUP($B88,QuyDoi_DonVi!$C:$S,13,FALSE),0)*100/_xlfn.IFNA(VLOOKUP($B88,SOP_Banh!$C:$X,9,FALSE),0),0)-100</f>
        <v>-26.199261992619924</v>
      </c>
      <c r="G88" s="63">
        <f>IFERROR(_xlfn.IFNA(VLOOKUP($B88,Dulieutho,ChiTiet!Z$2,FALSE),0)*100/_xlfn.IFNA(VLOOKUP($B88,SOP_Banh!$C:$X,10,FALSE),0),0)-100</f>
        <v>26.984126984126988</v>
      </c>
      <c r="H88" s="61">
        <f>IFERROR(SUM(_xlfn.IFNA(VLOOKUP($B88,Dulieutho,ChiTiet!AB$2,FALSE),0),_xlfn.IFNA(VLOOKUP($B88,Dulieutho,ChiTiet!AC$2,FALSE),0))*100/_xlfn.IFNA(VLOOKUP($B88,SOP_Banh!$C:$X,20,FALSE),0)-100,0)</f>
        <v>-35</v>
      </c>
      <c r="I88" s="61">
        <f>IFERROR(_xlfn.IFNA(VLOOKUP($B88,Dulieutho,ChiTiet!AF$2,FALSE),0)*100/_xlfn.IFNA(VLOOKUP($B88,SOP_Banh!$C:$X,21,FALSE),0)-100,0)</f>
        <v>66.666666666666657</v>
      </c>
      <c r="J88" s="61">
        <f>IFERROR(_xlfn.IFNA(VLOOKUP($B88,Dulieutho,ChiTiet!AD$2,FALSE),0)*100/_xlfn.IFNA(VLOOKUP($B88,SOP_Banh!$C:$X,22,FALSE),0)-100,0)</f>
        <v>19.047619047619051</v>
      </c>
      <c r="K88" s="61">
        <f>IFERROR(_xlfn.IFNA(VLOOKUP($B88,QuyDoi_DonVi!$C:$S,3,FALSE),0)*100/_xlfn.IFNA(VLOOKUP($B88,SOP_Banh!$C:$X,12,FALSE),0),0)-100</f>
        <v>-100</v>
      </c>
      <c r="L88" s="61">
        <f>IFERROR(_xlfn.IFNA(VLOOKUP($B88,QuyDoi_DonVi!$C:$S,5,FALSE),0)*100/(_xlfn.IFNA(VLOOKUP($B88,SOP_Banh!$C:$X,13,FALSE),0)*16)-100,0)</f>
        <v>-61.904761904761905</v>
      </c>
      <c r="M88" s="61">
        <f>IFERROR(_xlfn.IFNA(VLOOKUP($B88,QuyDoi_DonVi!$C:$S,4,FALSE),0)*100/_xlfn.IFNA(VLOOKUP($B88,SOP_Banh!$C:$X,14,FALSE),0),0)-100</f>
        <v>-100</v>
      </c>
      <c r="N88" s="61">
        <f>IFERROR(_xlfn.IFNA(VLOOKUP($B88,Dulieutho,ChiTiet!L$2,FALSE),0)*100/_xlfn.IFNA(VLOOKUP($B88,SOP_Banh!$C:$X,15,FALSE),0),0)-100</f>
        <v>0</v>
      </c>
      <c r="O88" s="61">
        <f>IFERROR(_xlfn.IFNA(VLOOKUP($B88,Dulieutho,ChiTiet!AJ$2,FALSE),0)*192*100/_xlfn.IFNA(VLOOKUP($B88,SOP_Banh!$C:$X,16,FALSE),0)-100,0)</f>
        <v>-16.08391608391608</v>
      </c>
      <c r="P88" s="61">
        <f>IFERROR(_xlfn.IFNA(VLOOKUP($B88,Dulieutho,ChiTiet!AG$2,FALSE),0)*100/_xlfn.IFNA(VLOOKUP($B88,SOP_Nuoc!$C:$H,3,FALSE),0)-100,0)</f>
        <v>-12.587412587412587</v>
      </c>
      <c r="Q88" s="63">
        <f>IFERROR(_xlfn.IFNA(VLOOKUP($B88,Dulieutho,ChiTiet!AH$2,FALSE),0)*3600*100/_xlfn.IFNA(VLOOKUP($B88,SOP_Banh!$C:$X,18,FALSE),0)-100,0)</f>
        <v>214.68531468531467</v>
      </c>
      <c r="R88" s="61">
        <f>IFERROR(_xlfn.IFNA(VLOOKUP($B88,QuyDoi_DonVi!$C:$S,17,FALSE),0)*100/_xlfn.IFNA(VLOOKUP($B88,SOP_Banh!$C:$X,19,FALSE),0),0)-100</f>
        <v>9.2657342657342667</v>
      </c>
      <c r="S88" s="60">
        <f>_xlfn.IFNA(VLOOKUP($B88,SOP_Nuoc!$C:$W,19,FALSE),0)</f>
        <v>0</v>
      </c>
      <c r="T88" s="60">
        <f>IF(S88&lt;&gt;0,IFERROR(_xlfn.IFNA(VLOOKUP($B88,QuyDoi_DonVi!$C:$S,7,FALSE),0)*100/_xlfn.IFNA(VLOOKUP($B88,SOP_Nuoc!$C:$W,20,FALSE),0),0)-100,0)</f>
        <v>0</v>
      </c>
      <c r="U88" s="60">
        <f>_xlfn.IFNA(VLOOKUP($B88,QuyDoi_DonVi!$C:$S,10,FALSE),0)</f>
        <v>12</v>
      </c>
      <c r="V88" s="60">
        <f>_xlfn.IFNA(VLOOKUP($B88,QuyDoi_DonVi!$C:$S,8,FALSE),0)</f>
        <v>3</v>
      </c>
      <c r="W88" s="60">
        <f>_xlfn.IFNA(VLOOKUP($B88,Dulieutho,ChiTiet!S$2,FALSE),0)</f>
        <v>12</v>
      </c>
    </row>
    <row r="89" spans="1:23" ht="15.6">
      <c r="A89" s="10" t="s">
        <v>219</v>
      </c>
      <c r="B89" s="9" t="s">
        <v>267</v>
      </c>
      <c r="C89" s="11" t="s">
        <v>268</v>
      </c>
      <c r="D89" s="62">
        <f>IFERROR(SUM(_xlfn.IFNA(VLOOKUP($B89,Dulieutho,ChiTiet!J$2,FALSE),0),_xlfn.IFNA(VLOOKUP($B89,Dulieutho,ChiTiet!K$2,FALSE),0),_xlfn.IFNA(VLOOKUP($B89,Dulieutho,ChiTiet!AK$2,FALSE),0),_xlfn.IFNA(VLOOKUP($B89,Dulieutho,ChiTiet!AL$2,FALSE),0))*100/_xlfn.IFNA(VLOOKUP($B89,SOP_Banh!$C:$X,7,FALSE),0),0)-100</f>
        <v>2.8368794326241158</v>
      </c>
      <c r="E89" s="61">
        <f>IFERROR(_xlfn.IFNA(VLOOKUP($B89,QuyDoi_DonVi!$C:$S,12,FALSE),0)*100/_xlfn.IFNA(VLOOKUP($B89,SOP_Banh!$C:$X,8,FALSE),0),0)-100</f>
        <v>27.388535031847127</v>
      </c>
      <c r="F89" s="61">
        <f>IFERROR(_xlfn.IFNA(VLOOKUP($B89,QuyDoi_DonVi!$C:$S,13,FALSE),0)*100/_xlfn.IFNA(VLOOKUP($B89,SOP_Banh!$C:$X,9,FALSE),0),0)-100</f>
        <v>-33.774834437086099</v>
      </c>
      <c r="G89" s="63">
        <f>IFERROR(_xlfn.IFNA(VLOOKUP($B89,Dulieutho,ChiTiet!Z$2,FALSE),0)*100/_xlfn.IFNA(VLOOKUP($B89,SOP_Banh!$C:$X,10,FALSE),0),0)-100</f>
        <v>-46.666666666666664</v>
      </c>
      <c r="H89" s="61">
        <f>IFERROR(SUM(_xlfn.IFNA(VLOOKUP($B89,Dulieutho,ChiTiet!AB$2,FALSE),0),_xlfn.IFNA(VLOOKUP($B89,Dulieutho,ChiTiet!AC$2,FALSE),0))*100/_xlfn.IFNA(VLOOKUP($B89,SOP_Banh!$C:$X,20,FALSE),0)-100,0)</f>
        <v>-34.988179669030728</v>
      </c>
      <c r="I89" s="61">
        <f>IFERROR(_xlfn.IFNA(VLOOKUP($B89,Dulieutho,ChiTiet!AF$2,FALSE),0)*100/_xlfn.IFNA(VLOOKUP($B89,SOP_Banh!$C:$X,21,FALSE),0)-100,0)</f>
        <v>4.1666666666666714</v>
      </c>
      <c r="J89" s="61">
        <f>IFERROR(_xlfn.IFNA(VLOOKUP($B89,Dulieutho,ChiTiet!AD$2,FALSE),0)*100/_xlfn.IFNA(VLOOKUP($B89,SOP_Banh!$C:$X,22,FALSE),0)-100,0)</f>
        <v>-100</v>
      </c>
      <c r="K89" s="61">
        <f>IFERROR(_xlfn.IFNA(VLOOKUP($B89,QuyDoi_DonVi!$C:$S,3,FALSE),0)*100/_xlfn.IFNA(VLOOKUP($B89,SOP_Banh!$C:$X,12,FALSE),0),0)-100</f>
        <v>-100</v>
      </c>
      <c r="L89" s="61">
        <f>IFERROR(_xlfn.IFNA(VLOOKUP($B89,QuyDoi_DonVi!$C:$S,5,FALSE),0)*100/(_xlfn.IFNA(VLOOKUP($B89,SOP_Banh!$C:$X,13,FALSE),0)*16)-100,0)</f>
        <v>-100</v>
      </c>
      <c r="M89" s="61">
        <f>IFERROR(_xlfn.IFNA(VLOOKUP($B89,QuyDoi_DonVi!$C:$S,4,FALSE),0)*100/_xlfn.IFNA(VLOOKUP($B89,SOP_Banh!$C:$X,14,FALSE),0),0)-100</f>
        <v>233.33333333333331</v>
      </c>
      <c r="N89" s="61">
        <f>IFERROR(_xlfn.IFNA(VLOOKUP($B89,Dulieutho,ChiTiet!L$2,FALSE),0)*100/_xlfn.IFNA(VLOOKUP($B89,SOP_Banh!$C:$X,15,FALSE),0),0)-100</f>
        <v>4.1666666666666714</v>
      </c>
      <c r="O89" s="61">
        <f>IFERROR(_xlfn.IFNA(VLOOKUP($B89,Dulieutho,ChiTiet!AJ$2,FALSE),0)*192*100/_xlfn.IFNA(VLOOKUP($B89,SOP_Banh!$C:$X,16,FALSE),0)-100,0)</f>
        <v>-42.514970059880241</v>
      </c>
      <c r="P89" s="61">
        <f>IFERROR(_xlfn.IFNA(VLOOKUP($B89,Dulieutho,ChiTiet!AG$2,FALSE),0)*100/_xlfn.IFNA(VLOOKUP($B89,SOP_Nuoc!$C:$H,3,FALSE),0)-100,0)</f>
        <v>-0.19960079840319622</v>
      </c>
      <c r="Q89" s="63">
        <f>IFERROR(_xlfn.IFNA(VLOOKUP($B89,Dulieutho,ChiTiet!AH$2,FALSE),0)*3600*100/_xlfn.IFNA(VLOOKUP($B89,SOP_Banh!$C:$X,18,FALSE),0)-100,0)</f>
        <v>-100</v>
      </c>
      <c r="R89" s="61">
        <f>IFERROR(_xlfn.IFNA(VLOOKUP($B89,QuyDoi_DonVi!$C:$S,17,FALSE),0)*100/_xlfn.IFNA(VLOOKUP($B89,SOP_Banh!$C:$X,19,FALSE),0),0)-100</f>
        <v>-0.19960079840319622</v>
      </c>
      <c r="S89" s="60">
        <f>_xlfn.IFNA(VLOOKUP($B89,SOP_Nuoc!$C:$W,19,FALSE),0)</f>
        <v>25</v>
      </c>
      <c r="T89" s="60">
        <f>IF(S89&lt;&gt;0,IFERROR(_xlfn.IFNA(VLOOKUP($B89,QuyDoi_DonVi!$C:$S,7,FALSE),0)*100/_xlfn.IFNA(VLOOKUP($B89,SOP_Nuoc!$C:$W,20,FALSE),0),0)-100,0)</f>
        <v>-56.000000000000007</v>
      </c>
      <c r="U89" s="60">
        <f>_xlfn.IFNA(VLOOKUP($B89,QuyDoi_DonVi!$C:$S,10,FALSE),0)</f>
        <v>0</v>
      </c>
      <c r="V89" s="60">
        <f>_xlfn.IFNA(VLOOKUP($B89,QuyDoi_DonVi!$C:$S,8,FALSE),0)</f>
        <v>0</v>
      </c>
      <c r="W89" s="60">
        <f>_xlfn.IFNA(VLOOKUP($B89,Dulieutho,ChiTiet!S$2,FALSE),0)</f>
        <v>48</v>
      </c>
    </row>
    <row r="90" spans="1:23" ht="15.6">
      <c r="A90" s="10" t="s">
        <v>219</v>
      </c>
      <c r="B90" s="9" t="s">
        <v>269</v>
      </c>
      <c r="C90" s="11" t="s">
        <v>270</v>
      </c>
      <c r="D90" s="62">
        <f>IFERROR(SUM(_xlfn.IFNA(VLOOKUP($B90,Dulieutho,ChiTiet!J$2,FALSE),0),_xlfn.IFNA(VLOOKUP($B90,Dulieutho,ChiTiet!K$2,FALSE),0),_xlfn.IFNA(VLOOKUP($B90,Dulieutho,ChiTiet!AK$2,FALSE),0),_xlfn.IFNA(VLOOKUP($B90,Dulieutho,ChiTiet!AL$2,FALSE),0))*100/_xlfn.IFNA(VLOOKUP($B90,SOP_Banh!$C:$X,7,FALSE),0),0)-100</f>
        <v>3.6184210526315752</v>
      </c>
      <c r="E90" s="61">
        <f>IFERROR(_xlfn.IFNA(VLOOKUP($B90,QuyDoi_DonVi!$C:$S,12,FALSE),0)*100/_xlfn.IFNA(VLOOKUP($B90,SOP_Banh!$C:$X,8,FALSE),0),0)-100</f>
        <v>8.6956521739130466</v>
      </c>
      <c r="F90" s="61">
        <f>IFERROR(_xlfn.IFNA(VLOOKUP($B90,QuyDoi_DonVi!$C:$S,13,FALSE),0)*100/_xlfn.IFNA(VLOOKUP($B90,SOP_Banh!$C:$X,9,FALSE),0),0)-100</f>
        <v>-11.764705882352942</v>
      </c>
      <c r="G90" s="63">
        <f>IFERROR(_xlfn.IFNA(VLOOKUP($B90,Dulieutho,ChiTiet!Z$2,FALSE),0)*100/_xlfn.IFNA(VLOOKUP($B90,SOP_Banh!$C:$X,10,FALSE),0),0)-100</f>
        <v>66.666666666666657</v>
      </c>
      <c r="H90" s="61">
        <f>IFERROR(SUM(_xlfn.IFNA(VLOOKUP($B90,Dulieutho,ChiTiet!AB$2,FALSE),0),_xlfn.IFNA(VLOOKUP($B90,Dulieutho,ChiTiet!AC$2,FALSE),0))*100/_xlfn.IFNA(VLOOKUP($B90,SOP_Banh!$C:$X,20,FALSE),0)-100,0)</f>
        <v>-25.986842105263165</v>
      </c>
      <c r="I90" s="61">
        <f>IFERROR(_xlfn.IFNA(VLOOKUP($B90,Dulieutho,ChiTiet!AF$2,FALSE),0)*100/_xlfn.IFNA(VLOOKUP($B90,SOP_Banh!$C:$X,21,FALSE),0)-100,0)</f>
        <v>-21.875</v>
      </c>
      <c r="J90" s="61">
        <f>IFERROR(_xlfn.IFNA(VLOOKUP($B90,Dulieutho,ChiTiet!AD$2,FALSE),0)*100/_xlfn.IFNA(VLOOKUP($B90,SOP_Banh!$C:$X,22,FALSE),0)-100,0)</f>
        <v>38.888888888888886</v>
      </c>
      <c r="K90" s="61">
        <f>IFERROR(_xlfn.IFNA(VLOOKUP($B90,QuyDoi_DonVi!$C:$S,3,FALSE),0)*100/_xlfn.IFNA(VLOOKUP($B90,SOP_Banh!$C:$X,12,FALSE),0),0)-100</f>
        <v>-100</v>
      </c>
      <c r="L90" s="61">
        <f>IFERROR(_xlfn.IFNA(VLOOKUP($B90,QuyDoi_DonVi!$C:$S,5,FALSE),0)*100/(_xlfn.IFNA(VLOOKUP($B90,SOP_Banh!$C:$X,13,FALSE),0)*16)-100,0)</f>
        <v>-11.111111111111114</v>
      </c>
      <c r="M90" s="61">
        <f>IFERROR(_xlfn.IFNA(VLOOKUP($B90,QuyDoi_DonVi!$C:$S,4,FALSE),0)*100/_xlfn.IFNA(VLOOKUP($B90,SOP_Banh!$C:$X,14,FALSE),0),0)-100</f>
        <v>177.77777777777777</v>
      </c>
      <c r="N90" s="61">
        <f>IFERROR(_xlfn.IFNA(VLOOKUP($B90,Dulieutho,ChiTiet!L$2,FALSE),0)*100/_xlfn.IFNA(VLOOKUP($B90,SOP_Banh!$C:$X,15,FALSE),0),0)-100</f>
        <v>9.375</v>
      </c>
      <c r="O90" s="61">
        <f>IFERROR(_xlfn.IFNA(VLOOKUP($B90,Dulieutho,ChiTiet!AJ$2,FALSE),0)*192*100/_xlfn.IFNA(VLOOKUP($B90,SOP_Banh!$C:$X,16,FALSE),0)-100,0)</f>
        <v>42.574257425742587</v>
      </c>
      <c r="P90" s="61">
        <f>IFERROR(_xlfn.IFNA(VLOOKUP($B90,Dulieutho,ChiTiet!AG$2,FALSE),0)*100/_xlfn.IFNA(VLOOKUP($B90,SOP_Nuoc!$C:$H,3,FALSE),0)-100,0)</f>
        <v>23.762376237623769</v>
      </c>
      <c r="Q90" s="63">
        <f>IFERROR(_xlfn.IFNA(VLOOKUP($B90,Dulieutho,ChiTiet!AH$2,FALSE),0)*3600*100/_xlfn.IFNA(VLOOKUP($B90,SOP_Banh!$C:$X,18,FALSE),0)-100,0)</f>
        <v>345.54455445544556</v>
      </c>
      <c r="R90" s="61">
        <f>IFERROR(_xlfn.IFNA(VLOOKUP($B90,QuyDoi_DonVi!$C:$S,17,FALSE),0)*100/_xlfn.IFNA(VLOOKUP($B90,SOP_Banh!$C:$X,19,FALSE),0),0)-100</f>
        <v>23.762376237623769</v>
      </c>
      <c r="S90" s="60">
        <f>_xlfn.IFNA(VLOOKUP($B90,SOP_Nuoc!$C:$W,19,FALSE),0)</f>
        <v>25</v>
      </c>
      <c r="T90" s="60">
        <f>IF(S90&lt;&gt;0,IFERROR(_xlfn.IFNA(VLOOKUP($B90,QuyDoi_DonVi!$C:$S,7,FALSE),0)*100/_xlfn.IFNA(VLOOKUP($B90,SOP_Nuoc!$C:$W,20,FALSE),0),0)-100,0)</f>
        <v>-78</v>
      </c>
      <c r="U90" s="60">
        <f>_xlfn.IFNA(VLOOKUP($B90,QuyDoi_DonVi!$C:$S,10,FALSE),0)</f>
        <v>12</v>
      </c>
      <c r="V90" s="60">
        <f>_xlfn.IFNA(VLOOKUP($B90,QuyDoi_DonVi!$C:$S,8,FALSE),0)</f>
        <v>1.5</v>
      </c>
      <c r="W90" s="60">
        <f>_xlfn.IFNA(VLOOKUP($B90,Dulieutho,ChiTiet!S$2,FALSE),0)</f>
        <v>36</v>
      </c>
    </row>
    <row r="91" spans="1:23" ht="15.6">
      <c r="A91" s="10" t="s">
        <v>219</v>
      </c>
      <c r="B91" s="9" t="s">
        <v>271</v>
      </c>
      <c r="C91" s="11" t="s">
        <v>272</v>
      </c>
      <c r="D91" s="62">
        <f>IFERROR(SUM(_xlfn.IFNA(VLOOKUP($B91,Dulieutho,ChiTiet!J$2,FALSE),0),_xlfn.IFNA(VLOOKUP($B91,Dulieutho,ChiTiet!K$2,FALSE),0),_xlfn.IFNA(VLOOKUP($B91,Dulieutho,ChiTiet!AK$2,FALSE),0),_xlfn.IFNA(VLOOKUP($B91,Dulieutho,ChiTiet!AL$2,FALSE),0))*100/_xlfn.IFNA(VLOOKUP($B91,SOP_Banh!$C:$X,7,FALSE),0),0)-100</f>
        <v>19.771863117870723</v>
      </c>
      <c r="E91" s="61">
        <f>IFERROR(_xlfn.IFNA(VLOOKUP($B91,QuyDoi_DonVi!$C:$S,12,FALSE),0)*100/_xlfn.IFNA(VLOOKUP($B91,SOP_Banh!$C:$X,8,FALSE),0),0)-100</f>
        <v>1.3513513513513544</v>
      </c>
      <c r="F91" s="61">
        <f>IFERROR(_xlfn.IFNA(VLOOKUP($B91,QuyDoi_DonVi!$C:$S,13,FALSE),0)*100/_xlfn.IFNA(VLOOKUP($B91,SOP_Banh!$C:$X,9,FALSE),0),0)-100</f>
        <v>-47.183098591549296</v>
      </c>
      <c r="G91" s="63">
        <f>IFERROR(_xlfn.IFNA(VLOOKUP($B91,Dulieutho,ChiTiet!Z$2,FALSE),0)*100/_xlfn.IFNA(VLOOKUP($B91,SOP_Banh!$C:$X,10,FALSE),0),0)-100</f>
        <v>137.03703703703704</v>
      </c>
      <c r="H91" s="61">
        <f>IFERROR(SUM(_xlfn.IFNA(VLOOKUP($B91,Dulieutho,ChiTiet!AB$2,FALSE),0),_xlfn.IFNA(VLOOKUP($B91,Dulieutho,ChiTiet!AC$2,FALSE),0))*100/_xlfn.IFNA(VLOOKUP($B91,SOP_Banh!$C:$X,20,FALSE),0)-100,0)</f>
        <v>-47.718631178707227</v>
      </c>
      <c r="I91" s="61">
        <f>IFERROR(_xlfn.IFNA(VLOOKUP($B91,Dulieutho,ChiTiet!AF$2,FALSE),0)*100/_xlfn.IFNA(VLOOKUP($B91,SOP_Banh!$C:$X,21,FALSE),0)-100,0)</f>
        <v>-24.242424242424249</v>
      </c>
      <c r="J91" s="61">
        <f>IFERROR(_xlfn.IFNA(VLOOKUP($B91,Dulieutho,ChiTiet!AD$2,FALSE),0)*100/_xlfn.IFNA(VLOOKUP($B91,SOP_Banh!$C:$X,22,FALSE),0)-100,0)</f>
        <v>19.047619047619051</v>
      </c>
      <c r="K91" s="61">
        <f>IFERROR(_xlfn.IFNA(VLOOKUP($B91,QuyDoi_DonVi!$C:$S,3,FALSE),0)*100/_xlfn.IFNA(VLOOKUP($B91,SOP_Banh!$C:$X,12,FALSE),0),0)-100</f>
        <v>19.047619047619051</v>
      </c>
      <c r="L91" s="61">
        <f>IFERROR(_xlfn.IFNA(VLOOKUP($B91,QuyDoi_DonVi!$C:$S,5,FALSE),0)*100/(_xlfn.IFNA(VLOOKUP($B91,SOP_Banh!$C:$X,13,FALSE),0)*16)-100,0)</f>
        <v>14.285714285714292</v>
      </c>
      <c r="M91" s="61">
        <f>IFERROR(_xlfn.IFNA(VLOOKUP($B91,QuyDoi_DonVi!$C:$S,4,FALSE),0)*100/_xlfn.IFNA(VLOOKUP($B91,SOP_Banh!$C:$X,14,FALSE),0),0)-100</f>
        <v>138.0952380952381</v>
      </c>
      <c r="N91" s="61">
        <f>IFERROR(_xlfn.IFNA(VLOOKUP($B91,Dulieutho,ChiTiet!L$2,FALSE),0)*100/_xlfn.IFNA(VLOOKUP($B91,SOP_Banh!$C:$X,15,FALSE),0),0)-100</f>
        <v>21.212121212121218</v>
      </c>
      <c r="O91" s="61">
        <f>IFERROR(_xlfn.IFNA(VLOOKUP($B91,Dulieutho,ChiTiet!AJ$2,FALSE),0)*192*100/_xlfn.IFNA(VLOOKUP($B91,SOP_Banh!$C:$X,16,FALSE),0)-100,0)</f>
        <v>-24.290220820189276</v>
      </c>
      <c r="P91" s="61">
        <f>IFERROR(_xlfn.IFNA(VLOOKUP($B91,Dulieutho,ChiTiet!AG$2,FALSE),0)*100/_xlfn.IFNA(VLOOKUP($B91,SOP_Nuoc!$C:$H,3,FALSE),0)-100,0)</f>
        <v>57.728706624605678</v>
      </c>
      <c r="Q91" s="63">
        <f>IFERROR(_xlfn.IFNA(VLOOKUP($B91,Dulieutho,ChiTiet!AH$2,FALSE),0)*3600*100/_xlfn.IFNA(VLOOKUP($B91,SOP_Banh!$C:$X,18,FALSE),0)-100,0)</f>
        <v>-100</v>
      </c>
      <c r="R91" s="61">
        <f>IFERROR(_xlfn.IFNA(VLOOKUP($B91,QuyDoi_DonVi!$C:$S,17,FALSE),0)*100/_xlfn.IFNA(VLOOKUP($B91,SOP_Banh!$C:$X,19,FALSE),0),0)-100</f>
        <v>57.728706624605678</v>
      </c>
      <c r="S91" s="60">
        <f>_xlfn.IFNA(VLOOKUP($B91,SOP_Nuoc!$C:$W,19,FALSE),0)</f>
        <v>25</v>
      </c>
      <c r="T91" s="60">
        <f>IF(S91&lt;&gt;0,IFERROR(_xlfn.IFNA(VLOOKUP($B91,QuyDoi_DonVi!$C:$S,7,FALSE),0)*100/_xlfn.IFNA(VLOOKUP($B91,SOP_Nuoc!$C:$W,20,FALSE),0),0)-100,0)</f>
        <v>-78</v>
      </c>
      <c r="U91" s="60">
        <f>_xlfn.IFNA(VLOOKUP($B91,QuyDoi_DonVi!$C:$S,10,FALSE),0)</f>
        <v>12</v>
      </c>
      <c r="V91" s="60">
        <f>_xlfn.IFNA(VLOOKUP($B91,QuyDoi_DonVi!$C:$S,8,FALSE),0)</f>
        <v>9</v>
      </c>
      <c r="W91" s="60">
        <f>_xlfn.IFNA(VLOOKUP($B91,Dulieutho,ChiTiet!S$2,FALSE),0)</f>
        <v>60</v>
      </c>
    </row>
    <row r="92" spans="1:23" ht="15.6">
      <c r="A92" s="10" t="s">
        <v>219</v>
      </c>
      <c r="B92" s="9" t="s">
        <v>273</v>
      </c>
      <c r="C92" s="11" t="s">
        <v>274</v>
      </c>
      <c r="D92" s="62">
        <f>IFERROR(SUM(_xlfn.IFNA(VLOOKUP($B92,Dulieutho,ChiTiet!J$2,FALSE),0),_xlfn.IFNA(VLOOKUP($B92,Dulieutho,ChiTiet!K$2,FALSE),0),_xlfn.IFNA(VLOOKUP($B92,Dulieutho,ChiTiet!AK$2,FALSE),0),_xlfn.IFNA(VLOOKUP($B92,Dulieutho,ChiTiet!AL$2,FALSE),0))*100/_xlfn.IFNA(VLOOKUP($B92,SOP_Banh!$C:$X,7,FALSE),0),0)-100</f>
        <v>-1.437371663244349</v>
      </c>
      <c r="E92" s="61">
        <f>IFERROR(_xlfn.IFNA(VLOOKUP($B92,QuyDoi_DonVi!$C:$S,12,FALSE),0)*100/_xlfn.IFNA(VLOOKUP($B92,SOP_Banh!$C:$X,8,FALSE),0),0)-100</f>
        <v>29.151291512915122</v>
      </c>
      <c r="F92" s="61">
        <f>IFERROR(_xlfn.IFNA(VLOOKUP($B92,QuyDoi_DonVi!$C:$S,13,FALSE),0)*100/_xlfn.IFNA(VLOOKUP($B92,SOP_Banh!$C:$X,9,FALSE),0),0)-100</f>
        <v>27.201565557729936</v>
      </c>
      <c r="G92" s="63">
        <f>IFERROR(_xlfn.IFNA(VLOOKUP($B92,Dulieutho,ChiTiet!Z$2,FALSE),0)*100/_xlfn.IFNA(VLOOKUP($B92,SOP_Banh!$C:$X,10,FALSE),0),0)-100</f>
        <v>-4.7619047619047592</v>
      </c>
      <c r="H92" s="61">
        <f>IFERROR(SUM(_xlfn.IFNA(VLOOKUP($B92,Dulieutho,ChiTiet!AB$2,FALSE),0),_xlfn.IFNA(VLOOKUP($B92,Dulieutho,ChiTiet!AC$2,FALSE),0))*100/_xlfn.IFNA(VLOOKUP($B92,SOP_Banh!$C:$X,20,FALSE),0)-100,0)</f>
        <v>-61.498973305954827</v>
      </c>
      <c r="I92" s="61">
        <f>IFERROR(_xlfn.IFNA(VLOOKUP($B92,Dulieutho,ChiTiet!AF$2,FALSE),0)*100/_xlfn.IFNA(VLOOKUP($B92,SOP_Banh!$C:$X,21,FALSE),0)-100,0)</f>
        <v>-9.0909090909090935</v>
      </c>
      <c r="J92" s="61">
        <f>IFERROR(_xlfn.IFNA(VLOOKUP($B92,Dulieutho,ChiTiet!AD$2,FALSE),0)*100/_xlfn.IFNA(VLOOKUP($B92,SOP_Banh!$C:$X,22,FALSE),0)-100,0)</f>
        <v>4.1666666666666714</v>
      </c>
      <c r="K92" s="61">
        <f>IFERROR(_xlfn.IFNA(VLOOKUP($B92,QuyDoi_DonVi!$C:$S,3,FALSE),0)*100/_xlfn.IFNA(VLOOKUP($B92,SOP_Banh!$C:$X,12,FALSE),0),0)-100</f>
        <v>4.1666666666666714</v>
      </c>
      <c r="L92" s="61">
        <f>IFERROR(_xlfn.IFNA(VLOOKUP($B92,QuyDoi_DonVi!$C:$S,5,FALSE),0)*100/(_xlfn.IFNA(VLOOKUP($B92,SOP_Banh!$C:$X,13,FALSE),0)*16)-100,0)</f>
        <v>-66.666666666666657</v>
      </c>
      <c r="M92" s="61">
        <f>IFERROR(_xlfn.IFNA(VLOOKUP($B92,QuyDoi_DonVi!$C:$S,4,FALSE),0)*100/_xlfn.IFNA(VLOOKUP($B92,SOP_Banh!$C:$X,14,FALSE),0),0)-100</f>
        <v>108.33333333333334</v>
      </c>
      <c r="N92" s="61">
        <f>IFERROR(_xlfn.IFNA(VLOOKUP($B92,Dulieutho,ChiTiet!L$2,FALSE),0)*100/_xlfn.IFNA(VLOOKUP($B92,SOP_Banh!$C:$X,15,FALSE),0),0)-100</f>
        <v>0</v>
      </c>
      <c r="O92" s="61">
        <f>IFERROR(_xlfn.IFNA(VLOOKUP($B92,Dulieutho,ChiTiet!AJ$2,FALSE),0)*192*100/_xlfn.IFNA(VLOOKUP($B92,SOP_Banh!$C:$X,16,FALSE),0)-100,0)</f>
        <v>-15.194346289752644</v>
      </c>
      <c r="P92" s="61">
        <f>IFERROR(_xlfn.IFNA(VLOOKUP($B92,Dulieutho,ChiTiet!AG$2,FALSE),0)*100/_xlfn.IFNA(VLOOKUP($B92,SOP_Nuoc!$C:$H,3,FALSE),0)-100,0)</f>
        <v>-11.660777385159008</v>
      </c>
      <c r="Q92" s="63">
        <f>IFERROR(_xlfn.IFNA(VLOOKUP($B92,Dulieutho,ChiTiet!AH$2,FALSE),0)*3600*100/_xlfn.IFNA(VLOOKUP($B92,SOP_Banh!$C:$X,18,FALSE),0)-100,0)</f>
        <v>59.010600706713774</v>
      </c>
      <c r="R92" s="61">
        <f>IFERROR(_xlfn.IFNA(VLOOKUP($B92,QuyDoi_DonVi!$C:$S,17,FALSE),0)*100/_xlfn.IFNA(VLOOKUP($B92,SOP_Banh!$C:$X,19,FALSE),0),0)-100</f>
        <v>-11.660777385159008</v>
      </c>
      <c r="S92" s="60">
        <f>_xlfn.IFNA(VLOOKUP($B92,SOP_Nuoc!$C:$W,19,FALSE),0)</f>
        <v>25</v>
      </c>
      <c r="T92" s="60">
        <f>IF(S92&lt;&gt;0,IFERROR(_xlfn.IFNA(VLOOKUP($B92,QuyDoi_DonVi!$C:$S,7,FALSE),0)*100/_xlfn.IFNA(VLOOKUP($B92,SOP_Nuoc!$C:$W,20,FALSE),0),0)-100,0)</f>
        <v>9.9999999999999858</v>
      </c>
      <c r="U92" s="60">
        <f>_xlfn.IFNA(VLOOKUP($B92,QuyDoi_DonVi!$C:$S,10,FALSE),0)</f>
        <v>12</v>
      </c>
      <c r="V92" s="60">
        <f>_xlfn.IFNA(VLOOKUP($B92,QuyDoi_DonVi!$C:$S,8,FALSE),0)</f>
        <v>15</v>
      </c>
      <c r="W92" s="60">
        <f>_xlfn.IFNA(VLOOKUP($B92,Dulieutho,ChiTiet!S$2,FALSE),0)</f>
        <v>48</v>
      </c>
    </row>
    <row r="93" spans="1:23" ht="15.6">
      <c r="A93" s="10" t="s">
        <v>219</v>
      </c>
      <c r="B93" s="9" t="s">
        <v>275</v>
      </c>
      <c r="C93" s="11" t="s">
        <v>276</v>
      </c>
      <c r="D93" s="62">
        <f>IFERROR(SUM(_xlfn.IFNA(VLOOKUP($B93,Dulieutho,ChiTiet!J$2,FALSE),0),_xlfn.IFNA(VLOOKUP($B93,Dulieutho,ChiTiet!K$2,FALSE),0),_xlfn.IFNA(VLOOKUP($B93,Dulieutho,ChiTiet!AK$2,FALSE),0),_xlfn.IFNA(VLOOKUP($B93,Dulieutho,ChiTiet!AL$2,FALSE),0))*100/_xlfn.IFNA(VLOOKUP($B93,SOP_Banh!$C:$X,7,FALSE),0),0)-100</f>
        <v>-1.1299435028248581</v>
      </c>
      <c r="E93" s="61">
        <f>IFERROR(_xlfn.IFNA(VLOOKUP($B93,QuyDoi_DonVi!$C:$S,12,FALSE),0)*100/_xlfn.IFNA(VLOOKUP($B93,SOP_Banh!$C:$X,8,FALSE),0),0)-100</f>
        <v>-29.453262786596113</v>
      </c>
      <c r="F93" s="61">
        <f>IFERROR(_xlfn.IFNA(VLOOKUP($B93,QuyDoi_DonVi!$C:$S,13,FALSE),0)*100/_xlfn.IFNA(VLOOKUP($B93,SOP_Banh!$C:$X,9,FALSE),0),0)-100</f>
        <v>52.28426395939087</v>
      </c>
      <c r="G93" s="63">
        <f>IFERROR(_xlfn.IFNA(VLOOKUP($B93,Dulieutho,ChiTiet!Z$2,FALSE),0)*100/_xlfn.IFNA(VLOOKUP($B93,SOP_Banh!$C:$X,10,FALSE),0),0)-100</f>
        <v>140</v>
      </c>
      <c r="H93" s="61">
        <f>IFERROR(SUM(_xlfn.IFNA(VLOOKUP($B93,Dulieutho,ChiTiet!AB$2,FALSE),0),_xlfn.IFNA(VLOOKUP($B93,Dulieutho,ChiTiet!AC$2,FALSE),0))*100/_xlfn.IFNA(VLOOKUP($B93,SOP_Banh!$C:$X,20,FALSE),0)-100,0)</f>
        <v>-76.459510357815446</v>
      </c>
      <c r="I93" s="61">
        <f>IFERROR(_xlfn.IFNA(VLOOKUP($B93,Dulieutho,ChiTiet!AF$2,FALSE),0)*100/_xlfn.IFNA(VLOOKUP($B93,SOP_Banh!$C:$X,21,FALSE),0)-100,0)</f>
        <v>-100</v>
      </c>
      <c r="J93" s="61">
        <f>IFERROR(_xlfn.IFNA(VLOOKUP($B93,Dulieutho,ChiTiet!AD$2,FALSE),0)*100/_xlfn.IFNA(VLOOKUP($B93,SOP_Banh!$C:$X,22,FALSE),0)-100,0)</f>
        <v>-16.666666666666671</v>
      </c>
      <c r="K93" s="61">
        <f>IFERROR(_xlfn.IFNA(VLOOKUP($B93,QuyDoi_DonVi!$C:$S,3,FALSE),0)*100/_xlfn.IFNA(VLOOKUP($B93,SOP_Banh!$C:$X,12,FALSE),0),0)-100</f>
        <v>66.666666666666657</v>
      </c>
      <c r="L93" s="61">
        <f>IFERROR(_xlfn.IFNA(VLOOKUP($B93,QuyDoi_DonVi!$C:$S,5,FALSE),0)*100/(_xlfn.IFNA(VLOOKUP($B93,SOP_Banh!$C:$X,13,FALSE),0)*16)-100,0)</f>
        <v>-46.666666666666664</v>
      </c>
      <c r="M93" s="61">
        <f>IFERROR(_xlfn.IFNA(VLOOKUP($B93,QuyDoi_DonVi!$C:$S,4,FALSE),0)*100/_xlfn.IFNA(VLOOKUP($B93,SOP_Banh!$C:$X,14,FALSE),0),0)-100</f>
        <v>-100</v>
      </c>
      <c r="N93" s="61">
        <f>IFERROR(_xlfn.IFNA(VLOOKUP($B93,Dulieutho,ChiTiet!L$2,FALSE),0)*100/_xlfn.IFNA(VLOOKUP($B93,SOP_Banh!$C:$X,15,FALSE),0),0)-100</f>
        <v>38.888888888888886</v>
      </c>
      <c r="O93" s="61">
        <f>IFERROR(_xlfn.IFNA(VLOOKUP($B93,Dulieutho,ChiTiet!AJ$2,FALSE),0)*192*100/_xlfn.IFNA(VLOOKUP($B93,SOP_Banh!$C:$X,16,FALSE),0)-100,0)</f>
        <v>-69.377990430622006</v>
      </c>
      <c r="P93" s="61">
        <f>IFERROR(_xlfn.IFNA(VLOOKUP($B93,Dulieutho,ChiTiet!AG$2,FALSE),0)*100/_xlfn.IFNA(VLOOKUP($B93,SOP_Nuoc!$C:$H,3,FALSE),0)-100,0)</f>
        <v>-20.255183413078143</v>
      </c>
      <c r="Q93" s="63">
        <f>IFERROR(_xlfn.IFNA(VLOOKUP($B93,Dulieutho,ChiTiet!AH$2,FALSE),0)*3600*100/_xlfn.IFNA(VLOOKUP($B93,SOP_Banh!$C:$X,18,FALSE),0)-100,0)</f>
        <v>-100</v>
      </c>
      <c r="R93" s="61">
        <f>IFERROR(_xlfn.IFNA(VLOOKUP($B93,QuyDoi_DonVi!$C:$S,17,FALSE),0)*100/_xlfn.IFNA(VLOOKUP($B93,SOP_Banh!$C:$X,19,FALSE),0),0)-100</f>
        <v>-20.255183413078143</v>
      </c>
      <c r="S93" s="60">
        <f>_xlfn.IFNA(VLOOKUP($B93,SOP_Nuoc!$C:$W,19,FALSE),0)</f>
        <v>25</v>
      </c>
      <c r="T93" s="60">
        <f>IF(S93&lt;&gt;0,IFERROR(_xlfn.IFNA(VLOOKUP($B93,QuyDoi_DonVi!$C:$S,7,FALSE),0)*100/_xlfn.IFNA(VLOOKUP($B93,SOP_Nuoc!$C:$W,20,FALSE),0),0)-100,0)</f>
        <v>-12.000000000000014</v>
      </c>
      <c r="U93" s="60">
        <f>_xlfn.IFNA(VLOOKUP($B93,QuyDoi_DonVi!$C:$S,10,FALSE),0)</f>
        <v>12</v>
      </c>
      <c r="V93" s="60">
        <f>_xlfn.IFNA(VLOOKUP($B93,QuyDoi_DonVi!$C:$S,8,FALSE),0)</f>
        <v>16</v>
      </c>
      <c r="W93" s="60">
        <f>_xlfn.IFNA(VLOOKUP($B93,Dulieutho,ChiTiet!S$2,FALSE),0)</f>
        <v>60</v>
      </c>
    </row>
    <row r="94" spans="1:23" ht="15.6">
      <c r="A94" s="10" t="s">
        <v>219</v>
      </c>
      <c r="B94" s="9" t="s">
        <v>277</v>
      </c>
      <c r="C94" s="11" t="s">
        <v>278</v>
      </c>
      <c r="D94" s="62">
        <f>IFERROR(SUM(_xlfn.IFNA(VLOOKUP($B94,Dulieutho,ChiTiet!J$2,FALSE),0),_xlfn.IFNA(VLOOKUP($B94,Dulieutho,ChiTiet!K$2,FALSE),0),_xlfn.IFNA(VLOOKUP($B94,Dulieutho,ChiTiet!AK$2,FALSE),0),_xlfn.IFNA(VLOOKUP($B94,Dulieutho,ChiTiet!AL$2,FALSE),0))*100/_xlfn.IFNA(VLOOKUP($B94,SOP_Banh!$C:$X,7,FALSE),0),0)-100</f>
        <v>-3.125</v>
      </c>
      <c r="E94" s="61">
        <f>IFERROR(_xlfn.IFNA(VLOOKUP($B94,QuyDoi_DonVi!$C:$S,12,FALSE),0)*100/_xlfn.IFNA(VLOOKUP($B94,SOP_Banh!$C:$X,8,FALSE),0),0)-100</f>
        <v>53.256704980842926</v>
      </c>
      <c r="F94" s="61">
        <f>IFERROR(_xlfn.IFNA(VLOOKUP($B94,QuyDoi_DonVi!$C:$S,13,FALSE),0)*100/_xlfn.IFNA(VLOOKUP($B94,SOP_Banh!$C:$X,9,FALSE),0),0)-100</f>
        <v>38.888888888888886</v>
      </c>
      <c r="G94" s="63">
        <f>IFERROR(_xlfn.IFNA(VLOOKUP($B94,Dulieutho,ChiTiet!Z$2,FALSE),0)*100/_xlfn.IFNA(VLOOKUP($B94,SOP_Banh!$C:$X,10,FALSE),0),0)-100</f>
        <v>70.666666666666657</v>
      </c>
      <c r="H94" s="61">
        <f>IFERROR(SUM(_xlfn.IFNA(VLOOKUP($B94,Dulieutho,ChiTiet!AB$2,FALSE),0),_xlfn.IFNA(VLOOKUP($B94,Dulieutho,ChiTiet!AC$2,FALSE),0))*100/_xlfn.IFNA(VLOOKUP($B94,SOP_Banh!$C:$X,20,FALSE),0)-100,0)</f>
        <v>-37.5</v>
      </c>
      <c r="I94" s="61">
        <f>IFERROR(_xlfn.IFNA(VLOOKUP($B94,Dulieutho,ChiTiet!AF$2,FALSE),0)*100/_xlfn.IFNA(VLOOKUP($B94,SOP_Banh!$C:$X,21,FALSE),0)-100,0)</f>
        <v>19.047619047619051</v>
      </c>
      <c r="J94" s="61">
        <f>IFERROR(_xlfn.IFNA(VLOOKUP($B94,Dulieutho,ChiTiet!AD$2,FALSE),0)*100/_xlfn.IFNA(VLOOKUP($B94,SOP_Banh!$C:$X,22,FALSE),0)-100,0)</f>
        <v>108.33333333333334</v>
      </c>
      <c r="K94" s="61">
        <f>IFERROR(_xlfn.IFNA(VLOOKUP($B94,QuyDoi_DonVi!$C:$S,3,FALSE),0)*100/_xlfn.IFNA(VLOOKUP($B94,SOP_Banh!$C:$X,12,FALSE),0),0)-100</f>
        <v>-100</v>
      </c>
      <c r="L94" s="61">
        <f>IFERROR(_xlfn.IFNA(VLOOKUP($B94,QuyDoi_DonVi!$C:$S,5,FALSE),0)*100/(_xlfn.IFNA(VLOOKUP($B94,SOP_Banh!$C:$X,13,FALSE),0)*16)-100,0)</f>
        <v>-100</v>
      </c>
      <c r="M94" s="61">
        <f>IFERROR(_xlfn.IFNA(VLOOKUP($B94,QuyDoi_DonVi!$C:$S,4,FALSE),0)*100/_xlfn.IFNA(VLOOKUP($B94,SOP_Banh!$C:$X,14,FALSE),0),0)-100</f>
        <v>-100</v>
      </c>
      <c r="N94" s="61">
        <f>IFERROR(_xlfn.IFNA(VLOOKUP($B94,Dulieutho,ChiTiet!L$2,FALSE),0)*100/_xlfn.IFNA(VLOOKUP($B94,SOP_Banh!$C:$X,15,FALSE),0),0)-100</f>
        <v>7.1428571428571388</v>
      </c>
      <c r="O94" s="61">
        <f>IFERROR(_xlfn.IFNA(VLOOKUP($B94,Dulieutho,ChiTiet!AJ$2,FALSE),0)*192*100/_xlfn.IFNA(VLOOKUP($B94,SOP_Banh!$C:$X,16,FALSE),0)-100,0)</f>
        <v>-12.087912087912088</v>
      </c>
      <c r="P94" s="61">
        <f>IFERROR(_xlfn.IFNA(VLOOKUP($B94,Dulieutho,ChiTiet!AG$2,FALSE),0)*100/_xlfn.IFNA(VLOOKUP($B94,SOP_Nuoc!$C:$H,3,FALSE),0)-100,0)</f>
        <v>-8.4249084249084234</v>
      </c>
      <c r="Q94" s="63">
        <f>IFERROR(_xlfn.IFNA(VLOOKUP($B94,Dulieutho,ChiTiet!AH$2,FALSE),0)*3600*100/_xlfn.IFNA(VLOOKUP($B94,SOP_Banh!$C:$X,18,FALSE),0)-100,0)</f>
        <v>229.67032967032969</v>
      </c>
      <c r="R94" s="61">
        <f>IFERROR(_xlfn.IFNA(VLOOKUP($B94,QuyDoi_DonVi!$C:$S,17,FALSE),0)*100/_xlfn.IFNA(VLOOKUP($B94,SOP_Banh!$C:$X,19,FALSE),0),0)-100</f>
        <v>-8.4249084249084234</v>
      </c>
      <c r="S94" s="60">
        <f>_xlfn.IFNA(VLOOKUP($B94,SOP_Nuoc!$C:$W,19,FALSE),0)</f>
        <v>0</v>
      </c>
      <c r="T94" s="60">
        <f>IF(S94&lt;&gt;0,IFERROR(_xlfn.IFNA(VLOOKUP($B94,QuyDoi_DonVi!$C:$S,7,FALSE),0)*100/_xlfn.IFNA(VLOOKUP($B94,SOP_Nuoc!$C:$W,20,FALSE),0),0)-100,0)</f>
        <v>0</v>
      </c>
      <c r="U94" s="60">
        <f>_xlfn.IFNA(VLOOKUP($B94,QuyDoi_DonVi!$C:$S,10,FALSE),0)</f>
        <v>0</v>
      </c>
      <c r="V94" s="60">
        <f>_xlfn.IFNA(VLOOKUP($B94,QuyDoi_DonVi!$C:$S,8,FALSE),0)</f>
        <v>8</v>
      </c>
      <c r="W94" s="60">
        <f>_xlfn.IFNA(VLOOKUP($B94,Dulieutho,ChiTiet!S$2,FALSE),0)</f>
        <v>12</v>
      </c>
    </row>
    <row r="95" spans="1:23" ht="15.6">
      <c r="A95" s="10" t="s">
        <v>219</v>
      </c>
      <c r="B95" s="9" t="s">
        <v>279</v>
      </c>
      <c r="C95" s="11" t="s">
        <v>280</v>
      </c>
      <c r="D95" s="62">
        <f>IFERROR(SUM(_xlfn.IFNA(VLOOKUP($B95,Dulieutho,ChiTiet!J$2,FALSE),0),_xlfn.IFNA(VLOOKUP($B95,Dulieutho,ChiTiet!K$2,FALSE),0),_xlfn.IFNA(VLOOKUP($B95,Dulieutho,ChiTiet!AK$2,FALSE),0),_xlfn.IFNA(VLOOKUP($B95,Dulieutho,ChiTiet!AL$2,FALSE),0))*100/_xlfn.IFNA(VLOOKUP($B95,SOP_Banh!$C:$X,7,FALSE),0),0)-100</f>
        <v>-2.877697841726615</v>
      </c>
      <c r="E95" s="61">
        <f>IFERROR(_xlfn.IFNA(VLOOKUP($B95,QuyDoi_DonVi!$C:$S,12,FALSE),0)*100/_xlfn.IFNA(VLOOKUP($B95,SOP_Banh!$C:$X,8,FALSE),0),0)-100</f>
        <v>143.90243902439025</v>
      </c>
      <c r="F95" s="61">
        <f>IFERROR(_xlfn.IFNA(VLOOKUP($B95,QuyDoi_DonVi!$C:$S,13,FALSE),0)*100/_xlfn.IFNA(VLOOKUP($B95,SOP_Banh!$C:$X,9,FALSE),0),0)-100</f>
        <v>171.08433734939757</v>
      </c>
      <c r="G95" s="63">
        <f>IFERROR(_xlfn.IFNA(VLOOKUP($B95,Dulieutho,ChiTiet!Z$2,FALSE),0)*100/_xlfn.IFNA(VLOOKUP($B95,SOP_Banh!$C:$X,10,FALSE),0),0)-100</f>
        <v>228.20512820512823</v>
      </c>
      <c r="H95" s="61">
        <f>IFERROR(SUM(_xlfn.IFNA(VLOOKUP($B95,Dulieutho,ChiTiet!AB$2,FALSE),0),_xlfn.IFNA(VLOOKUP($B95,Dulieutho,ChiTiet!AC$2,FALSE),0))*100/_xlfn.IFNA(VLOOKUP($B95,SOP_Banh!$C:$X,20,FALSE),0)-100,0)</f>
        <v>-46.043165467625897</v>
      </c>
      <c r="I95" s="61">
        <f>IFERROR(_xlfn.IFNA(VLOOKUP($B95,Dulieutho,ChiTiet!AF$2,FALSE),0)*100/_xlfn.IFNA(VLOOKUP($B95,SOP_Banh!$C:$X,21,FALSE),0)-100,0)</f>
        <v>0</v>
      </c>
      <c r="J95" s="61">
        <f>IFERROR(_xlfn.IFNA(VLOOKUP($B95,Dulieutho,ChiTiet!AD$2,FALSE),0)*100/_xlfn.IFNA(VLOOKUP($B95,SOP_Banh!$C:$X,22,FALSE),0)-100,0)</f>
        <v>-7.4074074074074048</v>
      </c>
      <c r="K95" s="61">
        <f>IFERROR(_xlfn.IFNA(VLOOKUP($B95,QuyDoi_DonVi!$C:$S,3,FALSE),0)*100/_xlfn.IFNA(VLOOKUP($B95,SOP_Banh!$C:$X,12,FALSE),0),0)-100</f>
        <v>-7.4074074074074048</v>
      </c>
      <c r="L95" s="61">
        <f>IFERROR(_xlfn.IFNA(VLOOKUP($B95,QuyDoi_DonVi!$C:$S,5,FALSE),0)*100/(_xlfn.IFNA(VLOOKUP($B95,SOP_Banh!$C:$X,13,FALSE),0)*16)-100,0)</f>
        <v>-40.74074074074074</v>
      </c>
      <c r="M95" s="61">
        <f>IFERROR(_xlfn.IFNA(VLOOKUP($B95,QuyDoi_DonVi!$C:$S,4,FALSE),0)*100/_xlfn.IFNA(VLOOKUP($B95,SOP_Banh!$C:$X,14,FALSE),0),0)-100</f>
        <v>-100</v>
      </c>
      <c r="N95" s="61">
        <f>IFERROR(_xlfn.IFNA(VLOOKUP($B95,Dulieutho,ChiTiet!L$2,FALSE),0)*100/_xlfn.IFNA(VLOOKUP($B95,SOP_Banh!$C:$X,15,FALSE),0),0)-100</f>
        <v>40</v>
      </c>
      <c r="O95" s="61">
        <f>IFERROR(_xlfn.IFNA(VLOOKUP($B95,Dulieutho,ChiTiet!AJ$2,FALSE),0)*192*100/_xlfn.IFNA(VLOOKUP($B95,SOP_Banh!$C:$X,16,FALSE),0)-100,0)</f>
        <v>101.04712041884818</v>
      </c>
      <c r="P95" s="61">
        <f>IFERROR(_xlfn.IFNA(VLOOKUP($B95,Dulieutho,ChiTiet!AG$2,FALSE),0)*100/_xlfn.IFNA(VLOOKUP($B95,SOP_Nuoc!$C:$H,3,FALSE),0)-100,0)</f>
        <v>-100</v>
      </c>
      <c r="Q95" s="63">
        <f>IFERROR(_xlfn.IFNA(VLOOKUP($B95,Dulieutho,ChiTiet!AH$2,FALSE),0)*3600*100/_xlfn.IFNA(VLOOKUP($B95,SOP_Banh!$C:$X,18,FALSE),0)-100,0)</f>
        <v>-100</v>
      </c>
      <c r="R95" s="61">
        <f>IFERROR(_xlfn.IFNA(VLOOKUP($B95,QuyDoi_DonVi!$C:$S,17,FALSE),0)*100/_xlfn.IFNA(VLOOKUP($B95,SOP_Banh!$C:$X,19,FALSE),0),0)-100</f>
        <v>-100</v>
      </c>
      <c r="S95" s="60">
        <f>_xlfn.IFNA(VLOOKUP($B95,SOP_Nuoc!$C:$W,19,FALSE),0)</f>
        <v>0</v>
      </c>
      <c r="T95" s="60">
        <f>IF(S95&lt;&gt;0,IFERROR(_xlfn.IFNA(VLOOKUP($B95,QuyDoi_DonVi!$C:$S,7,FALSE),0)*100/_xlfn.IFNA(VLOOKUP($B95,SOP_Nuoc!$C:$W,20,FALSE),0),0)-100,0)</f>
        <v>0</v>
      </c>
      <c r="U95" s="60">
        <f>_xlfn.IFNA(VLOOKUP($B95,QuyDoi_DonVi!$C:$S,10,FALSE),0)</f>
        <v>0</v>
      </c>
      <c r="V95" s="60">
        <f>_xlfn.IFNA(VLOOKUP($B95,QuyDoi_DonVi!$C:$S,8,FALSE),0)</f>
        <v>2</v>
      </c>
      <c r="W95" s="60">
        <f>_xlfn.IFNA(VLOOKUP($B95,Dulieutho,ChiTiet!S$2,FALSE),0)</f>
        <v>36</v>
      </c>
    </row>
    <row r="96" spans="1:23" ht="15.6">
      <c r="A96" s="10" t="s">
        <v>219</v>
      </c>
      <c r="B96" s="12" t="s">
        <v>281</v>
      </c>
      <c r="C96" s="11" t="s">
        <v>282</v>
      </c>
      <c r="D96" s="62">
        <f>IFERROR(SUM(_xlfn.IFNA(VLOOKUP($B96,Dulieutho,ChiTiet!J$2,FALSE),0),_xlfn.IFNA(VLOOKUP($B96,Dulieutho,ChiTiet!K$2,FALSE),0),_xlfn.IFNA(VLOOKUP($B96,Dulieutho,ChiTiet!AK$2,FALSE),0),_xlfn.IFNA(VLOOKUP($B96,Dulieutho,ChiTiet!AL$2,FALSE),0))*100/_xlfn.IFNA(VLOOKUP($B96,SOP_Banh!$C:$X,7,FALSE),0),0)-100</f>
        <v>18.55670103092784</v>
      </c>
      <c r="E96" s="61">
        <f>IFERROR(_xlfn.IFNA(VLOOKUP($B96,QuyDoi_DonVi!$C:$S,12,FALSE),0)*100/_xlfn.IFNA(VLOOKUP($B96,SOP_Banh!$C:$X,8,FALSE),0),0)-100</f>
        <v>-37.694704049844233</v>
      </c>
      <c r="F96" s="61">
        <f>IFERROR(_xlfn.IFNA(VLOOKUP($B96,QuyDoi_DonVi!$C:$S,13,FALSE),0)*100/_xlfn.IFNA(VLOOKUP($B96,SOP_Banh!$C:$X,9,FALSE),0),0)-100</f>
        <v>13.960113960113958</v>
      </c>
      <c r="G96" s="63">
        <f>IFERROR(_xlfn.IFNA(VLOOKUP($B96,Dulieutho,ChiTiet!Z$2,FALSE),0)*100/_xlfn.IFNA(VLOOKUP($B96,SOP_Banh!$C:$X,10,FALSE),0),0)-100</f>
        <v>-3.0303030303030312</v>
      </c>
      <c r="H96" s="61">
        <f>IFERROR(SUM(_xlfn.IFNA(VLOOKUP($B96,Dulieutho,ChiTiet!AB$2,FALSE),0),_xlfn.IFNA(VLOOKUP($B96,Dulieutho,ChiTiet!AC$2,FALSE),0))*100/_xlfn.IFNA(VLOOKUP($B96,SOP_Banh!$C:$X,20,FALSE),0)-100,0)</f>
        <v>-31.271477663230243</v>
      </c>
      <c r="I96" s="61">
        <f>IFERROR(_xlfn.IFNA(VLOOKUP($B96,Dulieutho,ChiTiet!AF$2,FALSE),0)*100/_xlfn.IFNA(VLOOKUP($B96,SOP_Banh!$C:$X,21,FALSE),0)-100,0)</f>
        <v>-100</v>
      </c>
      <c r="J96" s="61">
        <f>IFERROR(_xlfn.IFNA(VLOOKUP($B96,Dulieutho,ChiTiet!AD$2,FALSE),0)*100/_xlfn.IFNA(VLOOKUP($B96,SOP_Banh!$C:$X,22,FALSE),0)-100,0)</f>
        <v>-16.666666666666671</v>
      </c>
      <c r="K96" s="61">
        <f>IFERROR(_xlfn.IFNA(VLOOKUP($B96,QuyDoi_DonVi!$C:$S,3,FALSE),0)*100/_xlfn.IFNA(VLOOKUP($B96,SOP_Banh!$C:$X,12,FALSE),0),0)-100</f>
        <v>-100</v>
      </c>
      <c r="L96" s="61">
        <f>IFERROR(_xlfn.IFNA(VLOOKUP($B96,QuyDoi_DonVi!$C:$S,5,FALSE),0)*100/(_xlfn.IFNA(VLOOKUP($B96,SOP_Banh!$C:$X,13,FALSE),0)*16)-100,0)</f>
        <v>-20</v>
      </c>
      <c r="M96" s="61">
        <f>IFERROR(_xlfn.IFNA(VLOOKUP($B96,QuyDoi_DonVi!$C:$S,4,FALSE),0)*100/_xlfn.IFNA(VLOOKUP($B96,SOP_Banh!$C:$X,14,FALSE),0),0)-100</f>
        <v>-100</v>
      </c>
      <c r="N96" s="61">
        <f>IFERROR(_xlfn.IFNA(VLOOKUP($B96,Dulieutho,ChiTiet!L$2,FALSE),0)*100/_xlfn.IFNA(VLOOKUP($B96,SOP_Banh!$C:$X,15,FALSE),0),0)-100</f>
        <v>0</v>
      </c>
      <c r="O96" s="61">
        <f>IFERROR(_xlfn.IFNA(VLOOKUP($B96,Dulieutho,ChiTiet!AJ$2,FALSE),0)*192*100/_xlfn.IFNA(VLOOKUP($B96,SOP_Banh!$C:$X,16,FALSE),0)-100,0)</f>
        <v>-24.409448818897644</v>
      </c>
      <c r="P96" s="61">
        <f>IFERROR(_xlfn.IFNA(VLOOKUP($B96,Dulieutho,ChiTiet!AG$2,FALSE),0)*100/_xlfn.IFNA(VLOOKUP($B96,SOP_Nuoc!$C:$H,3,FALSE),0)-100,0)</f>
        <v>-100</v>
      </c>
      <c r="Q96" s="63">
        <f>IFERROR(_xlfn.IFNA(VLOOKUP($B96,Dulieutho,ChiTiet!AH$2,FALSE),0)*3600*100/_xlfn.IFNA(VLOOKUP($B96,SOP_Banh!$C:$X,18,FALSE),0)-100,0)</f>
        <v>-100</v>
      </c>
      <c r="R96" s="61">
        <f>IFERROR(_xlfn.IFNA(VLOOKUP($B96,QuyDoi_DonVi!$C:$S,17,FALSE),0)*100/_xlfn.IFNA(VLOOKUP($B96,SOP_Banh!$C:$X,19,FALSE),0),0)-100</f>
        <v>-100</v>
      </c>
      <c r="S96" s="60">
        <f>_xlfn.IFNA(VLOOKUP($B96,SOP_Nuoc!$C:$W,19,FALSE),0)</f>
        <v>0</v>
      </c>
      <c r="T96" s="60">
        <f>IF(S96&lt;&gt;0,IFERROR(_xlfn.IFNA(VLOOKUP($B96,QuyDoi_DonVi!$C:$S,7,FALSE),0)*100/_xlfn.IFNA(VLOOKUP($B96,SOP_Nuoc!$C:$W,20,FALSE),0),0)-100,0)</f>
        <v>0</v>
      </c>
      <c r="U96" s="60">
        <f>_xlfn.IFNA(VLOOKUP($B96,QuyDoi_DonVi!$C:$S,10,FALSE),0)</f>
        <v>0</v>
      </c>
      <c r="V96" s="60">
        <f>_xlfn.IFNA(VLOOKUP($B96,QuyDoi_DonVi!$C:$S,8,FALSE),0)</f>
        <v>6.5</v>
      </c>
      <c r="W96" s="60">
        <f>_xlfn.IFNA(VLOOKUP($B96,Dulieutho,ChiTiet!S$2,FALSE),0)</f>
        <v>24</v>
      </c>
    </row>
    <row r="97" spans="18:18">
      <c r="R97" s="60"/>
    </row>
  </sheetData>
  <mergeCells count="2">
    <mergeCell ref="D1:R1"/>
    <mergeCell ref="T1:W1"/>
  </mergeCells>
  <conditionalFormatting sqref="A2 B3 B5:B96">
    <cfRule type="duplicateValues" dxfId="13" priority="23"/>
  </conditionalFormatting>
  <conditionalFormatting sqref="C2:C3 C5:C96">
    <cfRule type="duplicateValues" dxfId="12" priority="22"/>
  </conditionalFormatting>
  <conditionalFormatting sqref="D1:D1048576">
    <cfRule type="cellIs" dxfId="11" priority="20" operator="lessThan">
      <formula>-10</formula>
    </cfRule>
  </conditionalFormatting>
  <conditionalFormatting sqref="E2:G1048576">
    <cfRule type="cellIs" dxfId="10" priority="16" operator="lessThan">
      <formula>-20</formula>
    </cfRule>
  </conditionalFormatting>
  <conditionalFormatting sqref="H2:J1048576">
    <cfRule type="cellIs" dxfId="9" priority="13" operator="lessThan">
      <formula>-10</formula>
    </cfRule>
  </conditionalFormatting>
  <conditionalFormatting sqref="K2:M1048576">
    <cfRule type="cellIs" dxfId="8" priority="10" operator="lessThan">
      <formula>-20</formula>
    </cfRule>
  </conditionalFormatting>
  <conditionalFormatting sqref="N2:N1048576">
    <cfRule type="cellIs" dxfId="7" priority="9" operator="lessThan">
      <formula>-10</formula>
    </cfRule>
  </conditionalFormatting>
  <conditionalFormatting sqref="O2:O1048576">
    <cfRule type="cellIs" dxfId="6" priority="8" operator="lessThan">
      <formula>-20</formula>
    </cfRule>
  </conditionalFormatting>
  <conditionalFormatting sqref="P2:R1048576">
    <cfRule type="cellIs" dxfId="5" priority="5" operator="lessThan">
      <formula>-30</formula>
    </cfRule>
  </conditionalFormatting>
  <conditionalFormatting sqref="S1:T1 S2:W1048576">
    <cfRule type="cellIs" dxfId="4" priority="3" operator="equal">
      <formula>0</formula>
    </cfRule>
  </conditionalFormatting>
  <conditionalFormatting sqref="T1 T2:U1048576">
    <cfRule type="cellIs" dxfId="3" priority="4" operator="lessThan">
      <formula>-20</formula>
    </cfRule>
  </conditionalFormatting>
  <conditionalFormatting sqref="B4">
    <cfRule type="duplicateValues" dxfId="2" priority="2"/>
  </conditionalFormatting>
  <conditionalFormatting sqref="C4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EB1F-0881-4490-B616-8A2DC1965D94}">
  <dimension ref="A1:E98"/>
  <sheetViews>
    <sheetView topLeftCell="A6" workbookViewId="0">
      <selection activeCell="C9" sqref="C9"/>
    </sheetView>
  </sheetViews>
  <sheetFormatPr defaultRowHeight="13.8"/>
  <cols>
    <col min="1" max="1" width="4.6640625" style="71" customWidth="1"/>
    <col min="2" max="2" width="9.44140625" style="71" customWidth="1"/>
    <col min="3" max="3" width="57.109375" style="71" customWidth="1"/>
    <col min="4" max="4" width="46.88671875" style="71" customWidth="1"/>
    <col min="5" max="5" width="27.6640625" style="71" customWidth="1"/>
    <col min="6" max="16384" width="8.88671875" style="8"/>
  </cols>
  <sheetData>
    <row r="1" spans="1:5" ht="27.6">
      <c r="A1" s="72" t="s">
        <v>76</v>
      </c>
      <c r="B1" s="72"/>
      <c r="C1" s="72"/>
      <c r="D1" s="72"/>
      <c r="E1" s="72"/>
    </row>
    <row r="3" spans="1:5">
      <c r="A3" s="64" t="s">
        <v>77</v>
      </c>
      <c r="B3" s="64" t="s">
        <v>405</v>
      </c>
      <c r="C3" s="64" t="s">
        <v>78</v>
      </c>
      <c r="D3" s="64" t="s">
        <v>79</v>
      </c>
      <c r="E3" s="64" t="s">
        <v>80</v>
      </c>
    </row>
    <row r="4" spans="1:5" ht="24" customHeight="1">
      <c r="A4" s="65">
        <v>1</v>
      </c>
      <c r="B4" s="66" t="s">
        <v>97</v>
      </c>
      <c r="C4" s="66" t="s">
        <v>408</v>
      </c>
      <c r="D4" s="67" t="s">
        <v>81</v>
      </c>
      <c r="E4" s="68" t="s">
        <v>83</v>
      </c>
    </row>
    <row r="5" spans="1:5" ht="24" customHeight="1">
      <c r="A5" s="65">
        <v>2</v>
      </c>
      <c r="B5" s="66" t="s">
        <v>97</v>
      </c>
      <c r="C5" s="66" t="s">
        <v>501</v>
      </c>
      <c r="D5" s="67"/>
      <c r="E5" s="68"/>
    </row>
    <row r="6" spans="1:5" ht="24" customHeight="1">
      <c r="A6" s="65">
        <v>3</v>
      </c>
      <c r="B6" s="66" t="s">
        <v>97</v>
      </c>
      <c r="C6" s="66" t="s">
        <v>409</v>
      </c>
      <c r="D6" s="67" t="s">
        <v>84</v>
      </c>
      <c r="E6" s="68"/>
    </row>
    <row r="7" spans="1:5" ht="24" customHeight="1">
      <c r="A7" s="65">
        <v>4</v>
      </c>
      <c r="B7" s="66" t="s">
        <v>97</v>
      </c>
      <c r="C7" s="66" t="s">
        <v>410</v>
      </c>
      <c r="D7" s="67" t="s">
        <v>85</v>
      </c>
      <c r="E7" s="68"/>
    </row>
    <row r="8" spans="1:5" ht="24" customHeight="1">
      <c r="A8" s="65">
        <v>5</v>
      </c>
      <c r="B8" s="66" t="s">
        <v>97</v>
      </c>
      <c r="C8" s="66" t="s">
        <v>411</v>
      </c>
      <c r="D8" s="67" t="s">
        <v>82</v>
      </c>
      <c r="E8" s="68" t="s">
        <v>88</v>
      </c>
    </row>
    <row r="9" spans="1:5" ht="24" customHeight="1">
      <c r="A9" s="65">
        <v>6</v>
      </c>
      <c r="B9" s="66" t="s">
        <v>97</v>
      </c>
      <c r="C9" s="66" t="s">
        <v>412</v>
      </c>
      <c r="D9" s="67" t="s">
        <v>87</v>
      </c>
      <c r="E9" s="68"/>
    </row>
    <row r="10" spans="1:5" ht="24" customHeight="1">
      <c r="A10" s="65">
        <v>7</v>
      </c>
      <c r="B10" s="66" t="s">
        <v>97</v>
      </c>
      <c r="C10" s="66" t="s">
        <v>413</v>
      </c>
      <c r="D10" s="69" t="s">
        <v>86</v>
      </c>
      <c r="E10" s="65"/>
    </row>
    <row r="11" spans="1:5" ht="24" customHeight="1">
      <c r="A11" s="65">
        <v>8</v>
      </c>
      <c r="B11" s="66" t="s">
        <v>97</v>
      </c>
      <c r="C11" s="66" t="s">
        <v>414</v>
      </c>
      <c r="D11" s="69"/>
      <c r="E11" s="65"/>
    </row>
    <row r="12" spans="1:5" ht="24" customHeight="1">
      <c r="A12" s="65">
        <v>9</v>
      </c>
      <c r="B12" s="66" t="s">
        <v>97</v>
      </c>
      <c r="C12" s="66" t="s">
        <v>407</v>
      </c>
      <c r="D12" s="69"/>
      <c r="E12" s="65"/>
    </row>
    <row r="13" spans="1:5" ht="24" customHeight="1">
      <c r="A13" s="65">
        <v>10</v>
      </c>
      <c r="B13" s="66" t="s">
        <v>97</v>
      </c>
      <c r="C13" s="66" t="s">
        <v>406</v>
      </c>
      <c r="D13" s="69"/>
      <c r="E13" s="65"/>
    </row>
    <row r="14" spans="1:5" ht="24" customHeight="1">
      <c r="A14" s="65">
        <v>11</v>
      </c>
      <c r="B14" s="66" t="s">
        <v>97</v>
      </c>
      <c r="C14" s="66" t="s">
        <v>415</v>
      </c>
      <c r="D14" s="69"/>
      <c r="E14" s="65"/>
    </row>
    <row r="15" spans="1:5" ht="24" customHeight="1">
      <c r="A15" s="65">
        <v>12</v>
      </c>
      <c r="B15" s="66" t="s">
        <v>97</v>
      </c>
      <c r="C15" s="66" t="s">
        <v>416</v>
      </c>
      <c r="D15" s="69"/>
      <c r="E15" s="68"/>
    </row>
    <row r="16" spans="1:5" ht="24" customHeight="1">
      <c r="A16" s="65">
        <v>13</v>
      </c>
      <c r="B16" s="66" t="s">
        <v>97</v>
      </c>
      <c r="C16" s="66" t="s">
        <v>417</v>
      </c>
      <c r="D16" s="69"/>
      <c r="E16" s="65"/>
    </row>
    <row r="17" spans="1:5" ht="24" customHeight="1">
      <c r="A17" s="65">
        <v>14</v>
      </c>
      <c r="B17" s="66" t="s">
        <v>97</v>
      </c>
      <c r="C17" s="66" t="s">
        <v>418</v>
      </c>
      <c r="D17" s="69"/>
      <c r="E17" s="65"/>
    </row>
    <row r="18" spans="1:5" ht="24" customHeight="1">
      <c r="A18" s="65">
        <v>15</v>
      </c>
      <c r="B18" s="66" t="s">
        <v>97</v>
      </c>
      <c r="C18" s="66" t="s">
        <v>419</v>
      </c>
      <c r="D18" s="69"/>
      <c r="E18" s="65"/>
    </row>
    <row r="19" spans="1:5" ht="24" customHeight="1">
      <c r="A19" s="65">
        <v>16</v>
      </c>
      <c r="B19" s="66" t="s">
        <v>97</v>
      </c>
      <c r="C19" s="66" t="s">
        <v>420</v>
      </c>
      <c r="D19" s="69"/>
      <c r="E19" s="65"/>
    </row>
    <row r="20" spans="1:5" ht="24" customHeight="1">
      <c r="A20" s="65">
        <v>17</v>
      </c>
      <c r="B20" s="66" t="s">
        <v>97</v>
      </c>
      <c r="C20" s="66" t="s">
        <v>421</v>
      </c>
      <c r="D20" s="67" t="s">
        <v>89</v>
      </c>
      <c r="E20" s="68" t="s">
        <v>88</v>
      </c>
    </row>
    <row r="21" spans="1:5" ht="24" customHeight="1">
      <c r="A21" s="65">
        <v>18</v>
      </c>
      <c r="B21" s="66" t="s">
        <v>97</v>
      </c>
      <c r="C21" s="66" t="s">
        <v>422</v>
      </c>
      <c r="D21" s="67" t="s">
        <v>90</v>
      </c>
      <c r="E21" s="68"/>
    </row>
    <row r="22" spans="1:5" ht="24" customHeight="1">
      <c r="A22" s="65">
        <v>19</v>
      </c>
      <c r="B22" s="66" t="s">
        <v>97</v>
      </c>
      <c r="C22" s="66" t="s">
        <v>423</v>
      </c>
      <c r="D22" s="67" t="s">
        <v>91</v>
      </c>
      <c r="E22" s="65"/>
    </row>
    <row r="23" spans="1:5" ht="24" customHeight="1">
      <c r="A23" s="65">
        <v>20</v>
      </c>
      <c r="B23" s="66" t="s">
        <v>97</v>
      </c>
      <c r="C23" s="66" t="s">
        <v>424</v>
      </c>
      <c r="D23" s="67" t="s">
        <v>91</v>
      </c>
      <c r="E23" s="65"/>
    </row>
    <row r="24" spans="1:5" ht="24" customHeight="1">
      <c r="A24" s="65">
        <v>21</v>
      </c>
      <c r="B24" s="66" t="s">
        <v>97</v>
      </c>
      <c r="C24" s="66" t="s">
        <v>425</v>
      </c>
      <c r="D24" s="65" t="s">
        <v>92</v>
      </c>
      <c r="E24" s="68"/>
    </row>
    <row r="25" spans="1:5" ht="24" customHeight="1">
      <c r="A25" s="65">
        <v>22</v>
      </c>
      <c r="B25" s="66" t="s">
        <v>97</v>
      </c>
      <c r="C25" s="66" t="s">
        <v>426</v>
      </c>
      <c r="D25" s="65"/>
      <c r="E25" s="65"/>
    </row>
    <row r="26" spans="1:5" ht="24" customHeight="1">
      <c r="A26" s="65">
        <v>23</v>
      </c>
      <c r="B26" s="66" t="s">
        <v>97</v>
      </c>
      <c r="C26" s="66" t="s">
        <v>427</v>
      </c>
      <c r="D26" s="65"/>
      <c r="E26" s="65"/>
    </row>
    <row r="27" spans="1:5" ht="24" customHeight="1">
      <c r="A27" s="65">
        <v>24</v>
      </c>
      <c r="B27" s="66" t="s">
        <v>97</v>
      </c>
      <c r="C27" s="66" t="s">
        <v>428</v>
      </c>
      <c r="D27" s="65"/>
      <c r="E27" s="65"/>
    </row>
    <row r="28" spans="1:5" ht="24" customHeight="1">
      <c r="A28" s="65">
        <v>25</v>
      </c>
      <c r="B28" s="66" t="s">
        <v>97</v>
      </c>
      <c r="C28" s="66" t="s">
        <v>429</v>
      </c>
      <c r="D28" s="65"/>
      <c r="E28" s="65"/>
    </row>
    <row r="29" spans="1:5" ht="24" customHeight="1">
      <c r="A29" s="65">
        <v>26</v>
      </c>
      <c r="B29" s="66" t="s">
        <v>97</v>
      </c>
      <c r="C29" s="66" t="s">
        <v>430</v>
      </c>
      <c r="D29" s="65"/>
      <c r="E29" s="65"/>
    </row>
    <row r="30" spans="1:5" ht="24" customHeight="1">
      <c r="A30" s="65">
        <v>27</v>
      </c>
      <c r="B30" s="66" t="s">
        <v>97</v>
      </c>
      <c r="C30" s="66" t="s">
        <v>431</v>
      </c>
      <c r="D30" s="65"/>
      <c r="E30" s="65"/>
    </row>
    <row r="31" spans="1:5" ht="24" customHeight="1">
      <c r="A31" s="65">
        <v>28</v>
      </c>
      <c r="B31" s="66" t="s">
        <v>97</v>
      </c>
      <c r="C31" s="66" t="s">
        <v>432</v>
      </c>
      <c r="D31" s="65"/>
      <c r="E31" s="65"/>
    </row>
    <row r="32" spans="1:5" ht="24" customHeight="1">
      <c r="A32" s="65">
        <v>29</v>
      </c>
      <c r="B32" s="66" t="s">
        <v>97</v>
      </c>
      <c r="C32" s="66" t="s">
        <v>433</v>
      </c>
      <c r="D32" s="65"/>
      <c r="E32" s="65"/>
    </row>
    <row r="33" spans="1:5" ht="24" customHeight="1">
      <c r="A33" s="65">
        <v>30</v>
      </c>
      <c r="B33" s="66" t="s">
        <v>97</v>
      </c>
      <c r="C33" s="66" t="s">
        <v>434</v>
      </c>
      <c r="D33" s="65"/>
      <c r="E33" s="65"/>
    </row>
    <row r="34" spans="1:5" ht="24" customHeight="1">
      <c r="A34" s="65">
        <v>31</v>
      </c>
      <c r="B34" s="66" t="s">
        <v>97</v>
      </c>
      <c r="C34" s="66" t="s">
        <v>435</v>
      </c>
      <c r="D34" s="65"/>
      <c r="E34" s="65"/>
    </row>
    <row r="35" spans="1:5" ht="24" customHeight="1">
      <c r="A35" s="65">
        <v>32</v>
      </c>
      <c r="B35" s="66" t="s">
        <v>97</v>
      </c>
      <c r="C35" s="66" t="s">
        <v>436</v>
      </c>
      <c r="D35" s="65"/>
      <c r="E35" s="65"/>
    </row>
    <row r="36" spans="1:5" ht="24" customHeight="1">
      <c r="A36" s="65">
        <v>33</v>
      </c>
      <c r="B36" s="66" t="s">
        <v>93</v>
      </c>
      <c r="C36" s="66" t="s">
        <v>437</v>
      </c>
      <c r="D36" s="65"/>
      <c r="E36" s="65"/>
    </row>
    <row r="37" spans="1:5" ht="24" customHeight="1">
      <c r="A37" s="65">
        <v>34</v>
      </c>
      <c r="B37" s="66" t="s">
        <v>93</v>
      </c>
      <c r="C37" s="66" t="s">
        <v>438</v>
      </c>
      <c r="D37" s="65"/>
      <c r="E37" s="65"/>
    </row>
    <row r="38" spans="1:5" ht="24" customHeight="1">
      <c r="A38" s="65">
        <v>35</v>
      </c>
      <c r="B38" s="66" t="s">
        <v>93</v>
      </c>
      <c r="C38" s="66" t="s">
        <v>439</v>
      </c>
      <c r="D38" s="65"/>
      <c r="E38" s="65"/>
    </row>
    <row r="39" spans="1:5" ht="24" customHeight="1">
      <c r="A39" s="65">
        <v>36</v>
      </c>
      <c r="B39" s="66" t="s">
        <v>93</v>
      </c>
      <c r="C39" s="66" t="s">
        <v>440</v>
      </c>
      <c r="D39" s="65"/>
      <c r="E39" s="65"/>
    </row>
    <row r="40" spans="1:5" ht="24" customHeight="1">
      <c r="A40" s="65">
        <v>37</v>
      </c>
      <c r="B40" s="66" t="s">
        <v>93</v>
      </c>
      <c r="C40" s="66" t="s">
        <v>441</v>
      </c>
      <c r="D40" s="65"/>
      <c r="E40" s="65"/>
    </row>
    <row r="41" spans="1:5" ht="24" customHeight="1">
      <c r="A41" s="65">
        <v>38</v>
      </c>
      <c r="B41" s="66" t="s">
        <v>93</v>
      </c>
      <c r="C41" s="66" t="s">
        <v>442</v>
      </c>
      <c r="D41" s="65"/>
      <c r="E41" s="65"/>
    </row>
    <row r="42" spans="1:5" ht="24" customHeight="1">
      <c r="A42" s="65">
        <v>39</v>
      </c>
      <c r="B42" s="66" t="s">
        <v>93</v>
      </c>
      <c r="C42" s="66" t="s">
        <v>443</v>
      </c>
      <c r="D42" s="65"/>
      <c r="E42" s="65"/>
    </row>
    <row r="43" spans="1:5" ht="24" customHeight="1">
      <c r="A43" s="65">
        <v>40</v>
      </c>
      <c r="B43" s="66" t="s">
        <v>93</v>
      </c>
      <c r="C43" s="66" t="s">
        <v>444</v>
      </c>
      <c r="D43" s="65"/>
      <c r="E43" s="65"/>
    </row>
    <row r="44" spans="1:5" ht="24" customHeight="1">
      <c r="A44" s="65">
        <v>41</v>
      </c>
      <c r="B44" s="66" t="s">
        <v>93</v>
      </c>
      <c r="C44" s="66" t="s">
        <v>445</v>
      </c>
      <c r="D44" s="65"/>
      <c r="E44" s="65"/>
    </row>
    <row r="45" spans="1:5" ht="24" customHeight="1">
      <c r="A45" s="65">
        <v>42</v>
      </c>
      <c r="B45" s="66" t="s">
        <v>93</v>
      </c>
      <c r="C45" s="66" t="s">
        <v>446</v>
      </c>
      <c r="D45" s="65"/>
      <c r="E45" s="65"/>
    </row>
    <row r="46" spans="1:5" ht="24" customHeight="1">
      <c r="A46" s="65">
        <v>43</v>
      </c>
      <c r="B46" s="66" t="s">
        <v>93</v>
      </c>
      <c r="C46" s="66" t="s">
        <v>447</v>
      </c>
      <c r="D46" s="65"/>
      <c r="E46" s="65"/>
    </row>
    <row r="47" spans="1:5" ht="24" customHeight="1">
      <c r="A47" s="65">
        <v>44</v>
      </c>
      <c r="B47" s="66" t="s">
        <v>93</v>
      </c>
      <c r="C47" s="66" t="s">
        <v>448</v>
      </c>
      <c r="D47" s="65"/>
      <c r="E47" s="65"/>
    </row>
    <row r="48" spans="1:5" ht="24" customHeight="1">
      <c r="A48" s="65">
        <v>45</v>
      </c>
      <c r="B48" s="66" t="s">
        <v>93</v>
      </c>
      <c r="C48" s="66" t="s">
        <v>449</v>
      </c>
      <c r="D48" s="65"/>
      <c r="E48" s="65"/>
    </row>
    <row r="49" spans="1:5" ht="24" customHeight="1">
      <c r="A49" s="65">
        <v>46</v>
      </c>
      <c r="B49" s="66" t="s">
        <v>93</v>
      </c>
      <c r="C49" s="66" t="s">
        <v>450</v>
      </c>
      <c r="D49" s="65"/>
      <c r="E49" s="65"/>
    </row>
    <row r="50" spans="1:5" ht="24" customHeight="1">
      <c r="A50" s="65">
        <v>47</v>
      </c>
      <c r="B50" s="66" t="s">
        <v>93</v>
      </c>
      <c r="C50" s="66" t="s">
        <v>451</v>
      </c>
      <c r="D50" s="65"/>
      <c r="E50" s="65"/>
    </row>
    <row r="51" spans="1:5" ht="24" customHeight="1">
      <c r="A51" s="65">
        <v>48</v>
      </c>
      <c r="B51" s="66" t="s">
        <v>93</v>
      </c>
      <c r="C51" s="66" t="s">
        <v>452</v>
      </c>
      <c r="D51" s="65"/>
      <c r="E51" s="65"/>
    </row>
    <row r="52" spans="1:5" ht="24" customHeight="1">
      <c r="A52" s="65">
        <v>49</v>
      </c>
      <c r="B52" s="66" t="s">
        <v>93</v>
      </c>
      <c r="C52" s="66" t="s">
        <v>453</v>
      </c>
      <c r="D52" s="65"/>
      <c r="E52" s="65"/>
    </row>
    <row r="53" spans="1:5" ht="24" customHeight="1">
      <c r="A53" s="65">
        <v>50</v>
      </c>
      <c r="B53" s="66" t="s">
        <v>93</v>
      </c>
      <c r="C53" s="66" t="s">
        <v>454</v>
      </c>
      <c r="D53" s="65"/>
      <c r="E53" s="65"/>
    </row>
    <row r="54" spans="1:5" ht="24" customHeight="1">
      <c r="A54" s="65">
        <v>51</v>
      </c>
      <c r="B54" s="66" t="s">
        <v>93</v>
      </c>
      <c r="C54" s="66" t="s">
        <v>455</v>
      </c>
      <c r="D54" s="65"/>
      <c r="E54" s="65"/>
    </row>
    <row r="55" spans="1:5" ht="24" customHeight="1">
      <c r="A55" s="65">
        <v>52</v>
      </c>
      <c r="B55" s="66" t="s">
        <v>93</v>
      </c>
      <c r="C55" s="66" t="s">
        <v>456</v>
      </c>
      <c r="D55" s="65"/>
      <c r="E55" s="65"/>
    </row>
    <row r="56" spans="1:5" ht="24" customHeight="1">
      <c r="A56" s="65">
        <v>53</v>
      </c>
      <c r="B56" s="66" t="s">
        <v>93</v>
      </c>
      <c r="C56" s="66" t="s">
        <v>457</v>
      </c>
      <c r="D56" s="65"/>
      <c r="E56" s="65"/>
    </row>
    <row r="57" spans="1:5" ht="24" customHeight="1">
      <c r="A57" s="65">
        <v>54</v>
      </c>
      <c r="B57" s="66" t="s">
        <v>93</v>
      </c>
      <c r="C57" s="66" t="s">
        <v>458</v>
      </c>
      <c r="D57" s="65"/>
      <c r="E57" s="65"/>
    </row>
    <row r="58" spans="1:5" ht="24" customHeight="1">
      <c r="A58" s="65">
        <v>55</v>
      </c>
      <c r="B58" s="66" t="s">
        <v>93</v>
      </c>
      <c r="C58" s="66" t="s">
        <v>459</v>
      </c>
      <c r="D58" s="65"/>
      <c r="E58" s="65"/>
    </row>
    <row r="59" spans="1:5" ht="24" customHeight="1">
      <c r="A59" s="65">
        <v>56</v>
      </c>
      <c r="B59" s="66" t="s">
        <v>93</v>
      </c>
      <c r="C59" s="66" t="s">
        <v>460</v>
      </c>
      <c r="D59" s="65"/>
      <c r="E59" s="65"/>
    </row>
    <row r="60" spans="1:5" ht="24" customHeight="1">
      <c r="A60" s="65">
        <v>57</v>
      </c>
      <c r="B60" s="66" t="s">
        <v>93</v>
      </c>
      <c r="C60" s="66" t="s">
        <v>461</v>
      </c>
      <c r="D60" s="65"/>
      <c r="E60" s="65"/>
    </row>
    <row r="61" spans="1:5" ht="24" customHeight="1">
      <c r="A61" s="65">
        <v>58</v>
      </c>
      <c r="B61" s="66" t="s">
        <v>93</v>
      </c>
      <c r="C61" s="66" t="s">
        <v>462</v>
      </c>
      <c r="D61" s="65"/>
      <c r="E61" s="65"/>
    </row>
    <row r="62" spans="1:5" ht="24" customHeight="1">
      <c r="A62" s="65">
        <v>59</v>
      </c>
      <c r="B62" s="66" t="s">
        <v>93</v>
      </c>
      <c r="C62" s="66" t="s">
        <v>463</v>
      </c>
      <c r="D62" s="65"/>
      <c r="E62" s="65"/>
    </row>
    <row r="63" spans="1:5" ht="24" customHeight="1">
      <c r="A63" s="65">
        <v>60</v>
      </c>
      <c r="B63" s="66" t="s">
        <v>93</v>
      </c>
      <c r="C63" s="66" t="s">
        <v>464</v>
      </c>
      <c r="D63" s="65"/>
      <c r="E63" s="65"/>
    </row>
    <row r="64" spans="1:5" ht="24" customHeight="1">
      <c r="A64" s="65">
        <v>61</v>
      </c>
      <c r="B64" s="66" t="s">
        <v>93</v>
      </c>
      <c r="C64" s="66" t="s">
        <v>465</v>
      </c>
      <c r="D64" s="65"/>
      <c r="E64" s="65"/>
    </row>
    <row r="65" spans="1:5" ht="24" customHeight="1">
      <c r="A65" s="65">
        <v>62</v>
      </c>
      <c r="B65" s="66" t="s">
        <v>93</v>
      </c>
      <c r="C65" s="66" t="s">
        <v>466</v>
      </c>
      <c r="D65" s="65"/>
      <c r="E65" s="65"/>
    </row>
    <row r="66" spans="1:5" ht="24" customHeight="1">
      <c r="A66" s="65">
        <v>63</v>
      </c>
      <c r="B66" s="66" t="s">
        <v>219</v>
      </c>
      <c r="C66" s="66" t="s">
        <v>467</v>
      </c>
      <c r="D66" s="65"/>
      <c r="E66" s="65"/>
    </row>
    <row r="67" spans="1:5" ht="24" customHeight="1">
      <c r="A67" s="65">
        <v>64</v>
      </c>
      <c r="B67" s="66" t="s">
        <v>219</v>
      </c>
      <c r="C67" s="66" t="s">
        <v>468</v>
      </c>
      <c r="D67" s="65"/>
      <c r="E67" s="65"/>
    </row>
    <row r="68" spans="1:5" ht="24" customHeight="1">
      <c r="A68" s="65">
        <v>65</v>
      </c>
      <c r="B68" s="66" t="s">
        <v>219</v>
      </c>
      <c r="C68" s="66" t="s">
        <v>469</v>
      </c>
      <c r="D68" s="65"/>
      <c r="E68" s="65"/>
    </row>
    <row r="69" spans="1:5" ht="24" customHeight="1">
      <c r="A69" s="65">
        <v>66</v>
      </c>
      <c r="B69" s="66" t="s">
        <v>219</v>
      </c>
      <c r="C69" s="66" t="s">
        <v>470</v>
      </c>
      <c r="D69" s="65"/>
      <c r="E69" s="65"/>
    </row>
    <row r="70" spans="1:5" ht="24" customHeight="1">
      <c r="A70" s="65">
        <v>67</v>
      </c>
      <c r="B70" s="66" t="s">
        <v>219</v>
      </c>
      <c r="C70" s="66" t="s">
        <v>471</v>
      </c>
      <c r="D70" s="65"/>
      <c r="E70" s="65"/>
    </row>
    <row r="71" spans="1:5" ht="24" customHeight="1">
      <c r="A71" s="65">
        <v>68</v>
      </c>
      <c r="B71" s="66" t="s">
        <v>219</v>
      </c>
      <c r="C71" s="66" t="s">
        <v>472</v>
      </c>
      <c r="D71" s="65"/>
      <c r="E71" s="65"/>
    </row>
    <row r="72" spans="1:5" ht="24" customHeight="1">
      <c r="A72" s="65">
        <v>69</v>
      </c>
      <c r="B72" s="66" t="s">
        <v>219</v>
      </c>
      <c r="C72" s="66" t="s">
        <v>473</v>
      </c>
      <c r="D72" s="65"/>
      <c r="E72" s="65"/>
    </row>
    <row r="73" spans="1:5" ht="24" customHeight="1">
      <c r="A73" s="65">
        <v>70</v>
      </c>
      <c r="B73" s="70" t="s">
        <v>219</v>
      </c>
      <c r="C73" s="70" t="s">
        <v>474</v>
      </c>
      <c r="D73" s="65"/>
      <c r="E73" s="65"/>
    </row>
    <row r="74" spans="1:5" ht="24" customHeight="1">
      <c r="A74" s="65">
        <v>71</v>
      </c>
      <c r="B74" s="66" t="s">
        <v>219</v>
      </c>
      <c r="C74" s="66" t="s">
        <v>475</v>
      </c>
      <c r="D74" s="65"/>
      <c r="E74" s="65"/>
    </row>
    <row r="75" spans="1:5" ht="24" customHeight="1">
      <c r="A75" s="65">
        <v>72</v>
      </c>
      <c r="B75" s="66" t="s">
        <v>219</v>
      </c>
      <c r="C75" s="66" t="s">
        <v>476</v>
      </c>
      <c r="D75" s="65"/>
      <c r="E75" s="65"/>
    </row>
    <row r="76" spans="1:5" ht="24" customHeight="1">
      <c r="A76" s="65">
        <v>73</v>
      </c>
      <c r="B76" s="66" t="s">
        <v>219</v>
      </c>
      <c r="C76" s="66" t="s">
        <v>477</v>
      </c>
      <c r="D76" s="65"/>
      <c r="E76" s="65"/>
    </row>
    <row r="77" spans="1:5" ht="24" customHeight="1">
      <c r="A77" s="65">
        <v>74</v>
      </c>
      <c r="B77" s="66" t="s">
        <v>219</v>
      </c>
      <c r="C77" s="66" t="s">
        <v>478</v>
      </c>
      <c r="D77" s="65"/>
      <c r="E77" s="65"/>
    </row>
    <row r="78" spans="1:5" ht="24" customHeight="1">
      <c r="A78" s="65">
        <v>75</v>
      </c>
      <c r="B78" s="66" t="s">
        <v>219</v>
      </c>
      <c r="C78" s="66" t="s">
        <v>479</v>
      </c>
      <c r="D78" s="65"/>
      <c r="E78" s="65"/>
    </row>
    <row r="79" spans="1:5" ht="24" customHeight="1">
      <c r="A79" s="65">
        <v>76</v>
      </c>
      <c r="B79" s="66" t="s">
        <v>219</v>
      </c>
      <c r="C79" s="66" t="s">
        <v>480</v>
      </c>
      <c r="D79" s="65"/>
      <c r="E79" s="65"/>
    </row>
    <row r="80" spans="1:5" ht="24" customHeight="1">
      <c r="A80" s="65">
        <v>77</v>
      </c>
      <c r="B80" s="66" t="s">
        <v>219</v>
      </c>
      <c r="C80" s="66" t="s">
        <v>481</v>
      </c>
      <c r="D80" s="65"/>
      <c r="E80" s="65"/>
    </row>
    <row r="81" spans="1:5" ht="24" customHeight="1">
      <c r="A81" s="65">
        <v>78</v>
      </c>
      <c r="B81" s="66" t="s">
        <v>219</v>
      </c>
      <c r="C81" s="66" t="s">
        <v>482</v>
      </c>
      <c r="D81" s="65"/>
      <c r="E81" s="65"/>
    </row>
    <row r="82" spans="1:5" ht="24" customHeight="1">
      <c r="A82" s="65">
        <v>79</v>
      </c>
      <c r="B82" s="66" t="s">
        <v>219</v>
      </c>
      <c r="C82" s="66" t="s">
        <v>483</v>
      </c>
      <c r="D82" s="65"/>
      <c r="E82" s="65"/>
    </row>
    <row r="83" spans="1:5" ht="24" customHeight="1">
      <c r="A83" s="65">
        <v>80</v>
      </c>
      <c r="B83" s="66" t="s">
        <v>219</v>
      </c>
      <c r="C83" s="66" t="s">
        <v>484</v>
      </c>
      <c r="D83" s="65"/>
      <c r="E83" s="65"/>
    </row>
    <row r="84" spans="1:5" ht="24" customHeight="1">
      <c r="A84" s="65">
        <v>81</v>
      </c>
      <c r="B84" s="66" t="s">
        <v>219</v>
      </c>
      <c r="C84" s="66" t="s">
        <v>485</v>
      </c>
      <c r="D84" s="65"/>
      <c r="E84" s="65"/>
    </row>
    <row r="85" spans="1:5" ht="24" customHeight="1">
      <c r="A85" s="65">
        <v>82</v>
      </c>
      <c r="B85" s="66" t="s">
        <v>219</v>
      </c>
      <c r="C85" s="66" t="s">
        <v>486</v>
      </c>
      <c r="D85" s="65"/>
      <c r="E85" s="65"/>
    </row>
    <row r="86" spans="1:5" ht="24" customHeight="1">
      <c r="A86" s="65">
        <v>83</v>
      </c>
      <c r="B86" s="66" t="s">
        <v>219</v>
      </c>
      <c r="C86" s="66" t="s">
        <v>487</v>
      </c>
      <c r="D86" s="65"/>
      <c r="E86" s="65"/>
    </row>
    <row r="87" spans="1:5" ht="24" customHeight="1">
      <c r="A87" s="65">
        <v>84</v>
      </c>
      <c r="B87" s="70" t="s">
        <v>219</v>
      </c>
      <c r="C87" s="70" t="s">
        <v>488</v>
      </c>
      <c r="D87" s="65"/>
      <c r="E87" s="65"/>
    </row>
    <row r="88" spans="1:5" ht="24" customHeight="1">
      <c r="A88" s="65">
        <v>85</v>
      </c>
      <c r="B88" s="66" t="s">
        <v>219</v>
      </c>
      <c r="C88" s="66" t="s">
        <v>489</v>
      </c>
      <c r="D88" s="65"/>
      <c r="E88" s="65"/>
    </row>
    <row r="89" spans="1:5" ht="24" customHeight="1">
      <c r="A89" s="65">
        <v>86</v>
      </c>
      <c r="B89" s="66" t="s">
        <v>219</v>
      </c>
      <c r="C89" s="66" t="s">
        <v>490</v>
      </c>
      <c r="D89" s="65"/>
      <c r="E89" s="65"/>
    </row>
    <row r="90" spans="1:5" ht="24" customHeight="1">
      <c r="A90" s="65">
        <v>87</v>
      </c>
      <c r="B90" s="66" t="s">
        <v>219</v>
      </c>
      <c r="C90" s="66" t="s">
        <v>491</v>
      </c>
      <c r="D90" s="65"/>
      <c r="E90" s="65"/>
    </row>
    <row r="91" spans="1:5" ht="24" customHeight="1">
      <c r="A91" s="65">
        <v>88</v>
      </c>
      <c r="B91" s="66" t="s">
        <v>219</v>
      </c>
      <c r="C91" s="66" t="s">
        <v>492</v>
      </c>
      <c r="D91" s="65"/>
      <c r="E91" s="65"/>
    </row>
    <row r="92" spans="1:5" ht="24" customHeight="1">
      <c r="A92" s="65">
        <v>89</v>
      </c>
      <c r="B92" s="66" t="s">
        <v>219</v>
      </c>
      <c r="C92" s="66" t="s">
        <v>493</v>
      </c>
      <c r="D92" s="65"/>
      <c r="E92" s="65"/>
    </row>
    <row r="93" spans="1:5" ht="24" customHeight="1">
      <c r="A93" s="65">
        <v>90</v>
      </c>
      <c r="B93" s="66" t="s">
        <v>219</v>
      </c>
      <c r="C93" s="66" t="s">
        <v>494</v>
      </c>
      <c r="D93" s="65"/>
      <c r="E93" s="65"/>
    </row>
    <row r="94" spans="1:5" ht="24" customHeight="1">
      <c r="A94" s="65">
        <v>91</v>
      </c>
      <c r="B94" s="66" t="s">
        <v>219</v>
      </c>
      <c r="C94" s="66" t="s">
        <v>495</v>
      </c>
      <c r="D94" s="65"/>
      <c r="E94" s="65"/>
    </row>
    <row r="95" spans="1:5" ht="24" customHeight="1">
      <c r="A95" s="65">
        <v>92</v>
      </c>
      <c r="B95" s="66" t="s">
        <v>219</v>
      </c>
      <c r="C95" s="66" t="s">
        <v>496</v>
      </c>
      <c r="D95" s="65"/>
      <c r="E95" s="65"/>
    </row>
    <row r="96" spans="1:5" ht="24" customHeight="1">
      <c r="A96" s="65">
        <v>93</v>
      </c>
      <c r="B96" s="66" t="s">
        <v>219</v>
      </c>
      <c r="C96" s="66" t="s">
        <v>497</v>
      </c>
      <c r="D96" s="65"/>
      <c r="E96" s="65"/>
    </row>
    <row r="97" spans="1:5" ht="24" customHeight="1">
      <c r="A97" s="65">
        <v>94</v>
      </c>
      <c r="B97" s="66" t="s">
        <v>219</v>
      </c>
      <c r="C97" s="66" t="s">
        <v>498</v>
      </c>
      <c r="D97" s="65"/>
      <c r="E97" s="65"/>
    </row>
    <row r="98" spans="1:5" ht="24" customHeight="1">
      <c r="A98" s="65"/>
      <c r="B98" s="65"/>
      <c r="C98" s="65"/>
      <c r="D98" s="65"/>
      <c r="E98" s="65"/>
    </row>
  </sheetData>
  <mergeCells count="1">
    <mergeCell ref="A1:E1"/>
  </mergeCells>
  <conditionalFormatting sqref="C4:C9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7</vt:i4>
      </vt:variant>
      <vt:variant>
        <vt:lpstr>Phạm vi Có tên</vt:lpstr>
      </vt:variant>
      <vt:variant>
        <vt:i4>1</vt:i4>
      </vt:variant>
    </vt:vector>
  </HeadingPairs>
  <TitlesOfParts>
    <vt:vector size="8" baseType="lpstr">
      <vt:lpstr>Dữ liệu thô</vt:lpstr>
      <vt:lpstr>ChiTiet</vt:lpstr>
      <vt:lpstr>QuyDoi_DonVi</vt:lpstr>
      <vt:lpstr>SOP_Banh</vt:lpstr>
      <vt:lpstr>SOP_Nuoc</vt:lpstr>
      <vt:lpstr>KIỂM TRA</vt:lpstr>
      <vt:lpstr>Tổng hợp T5</vt:lpstr>
      <vt:lpstr>Dulieutho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thien hoang</cp:lastModifiedBy>
  <cp:lastPrinted>2026-09-20T07:53:58Z</cp:lastPrinted>
  <dcterms:created xsi:type="dcterms:W3CDTF">2020-08-01T07:33:52Z</dcterms:created>
  <dcterms:modified xsi:type="dcterms:W3CDTF">2026-10-01T14:30:11Z</dcterms:modified>
</cp:coreProperties>
</file>